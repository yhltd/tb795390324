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25" windowHeight="8340"/>
  </bookViews>
  <sheets>
    <sheet name="Input_Output" sheetId="5" r:id="rId1"/>
    <sheet name="Output charts" sheetId="14" r:id="rId2"/>
    <sheet name="Calcs" sheetId="4" r:id="rId3"/>
    <sheet name="Track_geometry_lookup" sheetId="13" r:id="rId4"/>
    <sheet name="Lean_angle_lookup" sheetId="8" r:id="rId5"/>
  </sheets>
  <definedNames>
    <definedName name="accel">Calcs!$AX:$AX</definedName>
    <definedName name="Bike_length">Input_Output!$B$11</definedName>
    <definedName name="bl">Input_Output!$B$23</definedName>
    <definedName name="CDA">Calcs!$AB:$AB</definedName>
    <definedName name="CDA_delta">Input_Output!$G$9</definedName>
    <definedName name="Crr_delta">Input_Output!$G$11</definedName>
    <definedName name="Crr_front">Input_Output!$B$14</definedName>
    <definedName name="Crr_rear">Input_Output!$B$15</definedName>
    <definedName name="dt">Input_Output!$B$7</definedName>
    <definedName name="Efficiency">Input_Output!$B$17</definedName>
    <definedName name="F_Normal">Calcs!$AJ:$AJ</definedName>
    <definedName name="F_Normal_fr">Calcs!$AK:$AK</definedName>
    <definedName name="F_Normal_rr">Calcs!$AL:$AL</definedName>
    <definedName name="F_prop_net">Calcs!$AW:$AW</definedName>
    <definedName name="Force_RR_fr">Calcs!$AM:$AM</definedName>
    <definedName name="Force_RR_rr">Calcs!$AN:$AN</definedName>
    <definedName name="Half_lap_ID">Calcs!$Q:$Q</definedName>
    <definedName name="hl_length">Input_Output!$B$9</definedName>
    <definedName name="Initial_lean_angle">Calcs!$Y:$Y</definedName>
    <definedName name="Lap1profile">Input_Output!$B$24</definedName>
    <definedName name="Lean_angle">Calcs!$AF:$AF</definedName>
    <definedName name="Mass">Calcs!$AA:$AA</definedName>
    <definedName name="MoI_whl_front">Input_Output!$B$18</definedName>
    <definedName name="MoI_whl_rear">Input_Output!$B$19</definedName>
    <definedName name="mu_scrub">Input_Output!$B$16</definedName>
    <definedName name="omega">Calcs!$AI:$AI</definedName>
    <definedName name="P1_CDA_factor">Input_Output!$B$51</definedName>
    <definedName name="P2_CDA_factor">Input_Output!$B$52</definedName>
    <definedName name="P3_CDA_factor">Input_Output!$B$53</definedName>
    <definedName name="P4_CDA_factor">Input_Output!$B$54</definedName>
    <definedName name="Power_Aero">Calcs!$AU:$AU</definedName>
    <definedName name="Power_in">Calcs!$I:$I</definedName>
    <definedName name="Power_increment">Input_Output!$G$12</definedName>
    <definedName name="Power_net">Calcs!$AV:$AV</definedName>
    <definedName name="Power_RR">Calcs!$AT:$AT</definedName>
    <definedName name="Power_RR_fr">Calcs!$AO:$AO</definedName>
    <definedName name="Power_RR_rr">Calcs!$AP:$AP</definedName>
    <definedName name="R_CoM">Calcs!$AH:$AH</definedName>
    <definedName name="reactionTime">Input_Output!$B$25</definedName>
    <definedName name="Rel_airspeed">Calcs!$AS:$AS</definedName>
    <definedName name="rho">Input_Output!$B$10</definedName>
    <definedName name="Rider_P1">Calcs!$D:$D</definedName>
    <definedName name="Rider_P2">Calcs!$E:$E</definedName>
    <definedName name="Rider_P3">Calcs!$F:$F</definedName>
    <definedName name="Rider_P4">Calcs!$G:$G</definedName>
    <definedName name="rm" localSheetId="4">Lean_angle_lookup!$A$3:$A$244</definedName>
    <definedName name="Seat_height_1">Calcs!$Z:$Z</definedName>
    <definedName name="Sigma">Calcs!$AR:$AR</definedName>
    <definedName name="Spacing">Input_Output!$B$12</definedName>
    <definedName name="Start_P1">Input_Output!$B$2</definedName>
    <definedName name="Start_P2">Input_Output!$B$3</definedName>
    <definedName name="Start_P3">Input_Output!$B$4</definedName>
    <definedName name="Start_P4">Input_Output!$B$5</definedName>
    <definedName name="Starter_power_increment">Input_Output!$G$13</definedName>
    <definedName name="Static_mass_delta">Input_Output!$G$10</definedName>
    <definedName name="t">Calcs!$B:$B</definedName>
    <definedName name="Time_standing">Input_Output!$B$21</definedName>
    <definedName name="tot_dist_end">Input_Output!$H$41</definedName>
    <definedName name="Total_dist">Calcs!$H:$H</definedName>
    <definedName name="track">Input_Output!$B$22</definedName>
    <definedName name="track_dist_mult">Track_geometry_lookup!$I$4</definedName>
    <definedName name="Turn_distance">Calcs!$O:$O</definedName>
    <definedName name="Turn_radius_lookup">Calcs!$W:$W</definedName>
    <definedName name="v0">Input_Output!$B$8</definedName>
    <definedName name="Vel_CoM">Calcs!$K:$K</definedName>
    <definedName name="Vel_whls">Calcs!$N:$N</definedName>
    <definedName name="Weight_dist_front_rear">Input_Output!$B$13</definedName>
    <definedName name="Wheel_radius">Input_Output!$B$20</definedName>
  </definedNames>
  <calcPr calcId="144525"/>
</workbook>
</file>

<file path=xl/sharedStrings.xml><?xml version="1.0" encoding="utf-8"?>
<sst xmlns="http://schemas.openxmlformats.org/spreadsheetml/2006/main" count="400" uniqueCount="348">
  <si>
    <t>Start order</t>
  </si>
  <si>
    <t>Rider ID</t>
  </si>
  <si>
    <t>Rider profiles</t>
  </si>
  <si>
    <t>Mass</t>
  </si>
  <si>
    <t>CDA seated (solo measurement)</t>
  </si>
  <si>
    <t>Seat height from ground, m</t>
  </si>
  <si>
    <t>Critical power</t>
  </si>
  <si>
    <t>Turn 1 power</t>
  </si>
  <si>
    <t>Turn 2 power</t>
  </si>
  <si>
    <t>Turn 3 power</t>
  </si>
  <si>
    <t>Turn 4 power</t>
  </si>
  <si>
    <t>Turn 5 power</t>
  </si>
  <si>
    <t>CDA standing</t>
  </si>
  <si>
    <t>Ave lead W / CDA</t>
  </si>
  <si>
    <t>Rider limit values:</t>
  </si>
  <si>
    <t>Energy total, KJ</t>
  </si>
  <si>
    <t>Over CP energy, KJ</t>
  </si>
  <si>
    <t>5 sec power</t>
  </si>
  <si>
    <t>1 min power</t>
  </si>
  <si>
    <t>3 min power</t>
  </si>
  <si>
    <t>Calculated in this ride:</t>
  </si>
  <si>
    <t>Percentages vs. max</t>
  </si>
  <si>
    <t>P1</t>
  </si>
  <si>
    <t>A</t>
  </si>
  <si>
    <t>rider1</t>
  </si>
  <si>
    <t>P2</t>
  </si>
  <si>
    <t>E</t>
  </si>
  <si>
    <t>B</t>
  </si>
  <si>
    <t>rider2</t>
  </si>
  <si>
    <t>P3</t>
  </si>
  <si>
    <t>D</t>
  </si>
  <si>
    <t>C</t>
  </si>
  <si>
    <t>rider3</t>
  </si>
  <si>
    <t>P4</t>
  </si>
  <si>
    <t>rider4</t>
  </si>
  <si>
    <t>rider5</t>
  </si>
  <si>
    <t>dt</t>
  </si>
  <si>
    <t>sec</t>
  </si>
  <si>
    <t>v0</t>
  </si>
  <si>
    <t>m/sec</t>
  </si>
  <si>
    <t>Quick Increments</t>
  </si>
  <si>
    <t>Total time</t>
  </si>
  <si>
    <t>mm:ss.0</t>
  </si>
  <si>
    <t>hl length</t>
  </si>
  <si>
    <t>m, nominal black line dist</t>
  </si>
  <si>
    <t>CDA delta</t>
  </si>
  <si>
    <t>m^2</t>
  </si>
  <si>
    <t>air density</t>
  </si>
  <si>
    <t>kg/m^3</t>
  </si>
  <si>
    <t>Static mass delta</t>
  </si>
  <si>
    <t>kg</t>
  </si>
  <si>
    <t>Half lap ID</t>
  </si>
  <si>
    <t>Dist (nominal)</t>
  </si>
  <si>
    <t>Time, cumulative, sec</t>
  </si>
  <si>
    <t>Half lap split, sec</t>
  </si>
  <si>
    <t>Half lap ave whl speed, m/sec</t>
  </si>
  <si>
    <t>Rider on front</t>
  </si>
  <si>
    <t>Corrected split</t>
  </si>
  <si>
    <t>matched rows</t>
  </si>
  <si>
    <t>Dist at end</t>
  </si>
  <si>
    <t>rider on front</t>
  </si>
  <si>
    <t>energy</t>
  </si>
  <si>
    <t>Turn ID</t>
  </si>
  <si>
    <t>rows</t>
  </si>
  <si>
    <t>cols</t>
  </si>
  <si>
    <t>Start</t>
  </si>
  <si>
    <t>End</t>
  </si>
  <si>
    <t>Next ID</t>
  </si>
  <si>
    <t>Length</t>
  </si>
  <si>
    <t>Distance to add</t>
  </si>
  <si>
    <t>P1 turn energy</t>
  </si>
  <si>
    <t>P2 turn energy</t>
  </si>
  <si>
    <t>P3 turn energy</t>
  </si>
  <si>
    <t>P4 turn energy</t>
  </si>
  <si>
    <t xml:space="preserve">Bike length </t>
  </si>
  <si>
    <t>m</t>
  </si>
  <si>
    <t>Crr delta</t>
  </si>
  <si>
    <t>Spacing</t>
  </si>
  <si>
    <t>Power</t>
  </si>
  <si>
    <t>Watts</t>
  </si>
  <si>
    <t>Weight dist fr-rr</t>
  </si>
  <si>
    <t>%. E.g. 60% = 40/60 fr/rr</t>
  </si>
  <si>
    <t>Starter power laps 1,2</t>
  </si>
  <si>
    <t>Crr front</t>
  </si>
  <si>
    <t>Crr rear</t>
  </si>
  <si>
    <t>Team seated average W/CDA</t>
  </si>
  <si>
    <t>mu_scrub</t>
  </si>
  <si>
    <t>empirical const.</t>
  </si>
  <si>
    <t>Efficiency</t>
  </si>
  <si>
    <t>Friction losses in chain and bearings</t>
  </si>
  <si>
    <t>MoI whl front</t>
  </si>
  <si>
    <t>kg.m^2</t>
  </si>
  <si>
    <t>MoI whl rear</t>
  </si>
  <si>
    <t>Wheel radius</t>
  </si>
  <si>
    <t>Time standing</t>
  </si>
  <si>
    <t>Track geo</t>
  </si>
  <si>
    <t>BRI</t>
  </si>
  <si>
    <t>BRI (Brisbane only)</t>
  </si>
  <si>
    <t>dist from black line***</t>
  </si>
  <si>
    <t>default 0.2</t>
  </si>
  <si>
    <t>Lap1 profile</t>
  </si>
  <si>
    <t>male</t>
  </si>
  <si>
    <t>Male or Female</t>
  </si>
  <si>
    <t>Reaction time</t>
  </si>
  <si>
    <t>2nd team</t>
  </si>
  <si>
    <t>Qual or R1 / final?</t>
  </si>
  <si>
    <t>3rd rider dist behind at finish</t>
  </si>
  <si>
    <t>no of bike lengths behind over finish line</t>
  </si>
  <si>
    <t>Input: turn duration x laps</t>
  </si>
  <si>
    <t>Turn 1</t>
  </si>
  <si>
    <t>Turn 2</t>
  </si>
  <si>
    <t>Turn 3</t>
  </si>
  <si>
    <t>Turn 4</t>
  </si>
  <si>
    <t>Turn 5</t>
  </si>
  <si>
    <t>Checksum 16 laps?</t>
  </si>
  <si>
    <t>laps</t>
  </si>
  <si>
    <t>Turn duration in metres</t>
  </si>
  <si>
    <t>tot dist:</t>
  </si>
  <si>
    <t>Cumulative turn duration in metres</t>
  </si>
  <si>
    <t>CDA scaling</t>
  </si>
  <si>
    <t>Empirical constants</t>
  </si>
  <si>
    <t>half lap</t>
  </si>
  <si>
    <t>rel airspeed</t>
  </si>
  <si>
    <t>stabilised</t>
  </si>
  <si>
    <t>Rider P1</t>
  </si>
  <si>
    <t>1st</t>
  </si>
  <si>
    <t>last</t>
  </si>
  <si>
    <t>Rider stats</t>
  </si>
  <si>
    <t>time</t>
  </si>
  <si>
    <t>Rider P2</t>
  </si>
  <si>
    <t>Rider P3</t>
  </si>
  <si>
    <t>Rider P4</t>
  </si>
  <si>
    <t>Total dist</t>
  </si>
  <si>
    <t>Power in, W</t>
  </si>
  <si>
    <t>Rider lead turn #</t>
  </si>
  <si>
    <t>Vel_CoM</t>
  </si>
  <si>
    <t>CoM_dist</t>
  </si>
  <si>
    <t>wheel_dist</t>
  </si>
  <si>
    <t>wheel_speed</t>
  </si>
  <si>
    <t>Turn distance</t>
  </si>
  <si>
    <t>Turn length</t>
  </si>
  <si>
    <t>Dist at end of this half lap</t>
  </si>
  <si>
    <t>End of half lap</t>
  </si>
  <si>
    <t>Half lap time</t>
  </si>
  <si>
    <t>Half lap dist</t>
  </si>
  <si>
    <t>Percent half lap</t>
  </si>
  <si>
    <t>Turn radius lookup, m</t>
  </si>
  <si>
    <t>Bank angle lookup, radians</t>
  </si>
  <si>
    <t>Initial lean angle lookup, radians</t>
  </si>
  <si>
    <t>Seat height</t>
  </si>
  <si>
    <t>CDA</t>
  </si>
  <si>
    <t>Loop_1</t>
  </si>
  <si>
    <t>Loop_2</t>
  </si>
  <si>
    <t>Loop_3</t>
  </si>
  <si>
    <t>Converged lean angle, degrees</t>
  </si>
  <si>
    <t>Angle from horizontal, degrees</t>
  </si>
  <si>
    <t>R_com</t>
  </si>
  <si>
    <t>Angular velocity</t>
  </si>
  <si>
    <t>F_Normal</t>
  </si>
  <si>
    <t>F_normal_front</t>
  </si>
  <si>
    <t>F_normal_rear</t>
  </si>
  <si>
    <t>Force_RR_Front</t>
  </si>
  <si>
    <t>Force_RR_Rear</t>
  </si>
  <si>
    <t>Power_RR v_whl Front</t>
  </si>
  <si>
    <t>Power_RR v_whl Rear</t>
  </si>
  <si>
    <t>betadash</t>
  </si>
  <si>
    <t>Sigma</t>
  </si>
  <si>
    <t>Rel airspeed</t>
  </si>
  <si>
    <t>Power RR</t>
  </si>
  <si>
    <t>Aero Power</t>
  </si>
  <si>
    <t>Net Power</t>
  </si>
  <si>
    <t>Net propulsive force</t>
  </si>
  <si>
    <t>accel</t>
  </si>
  <si>
    <t>Energy</t>
  </si>
  <si>
    <t>P1 Energy cumulative</t>
  </si>
  <si>
    <t>end of turn?</t>
  </si>
  <si>
    <t>W/CDA</t>
  </si>
  <si>
    <t>P1 accel power</t>
  </si>
  <si>
    <t>Following positions &gt;&gt;&gt;</t>
  </si>
  <si>
    <t>P2 aero power</t>
  </si>
  <si>
    <t>P2 roll power</t>
  </si>
  <si>
    <t>P2 accel power</t>
  </si>
  <si>
    <t>P2 power in</t>
  </si>
  <si>
    <t>P2 Energy cumulative</t>
  </si>
  <si>
    <t>P3 aero power</t>
  </si>
  <si>
    <t>P3 roll power</t>
  </si>
  <si>
    <t>P3 accel power</t>
  </si>
  <si>
    <t>p3 power in</t>
  </si>
  <si>
    <t>P3 energy cumulative</t>
  </si>
  <si>
    <t>P4 aero power</t>
  </si>
  <si>
    <t>P4 roll power</t>
  </si>
  <si>
    <t>P4 accel power</t>
  </si>
  <si>
    <t>p4 power in</t>
  </si>
  <si>
    <t>P4 energy cumulative</t>
  </si>
  <si>
    <t>over threshold energy</t>
  </si>
  <si>
    <t>cumulative O-T energy</t>
  </si>
  <si>
    <t>5 sec moving average</t>
  </si>
  <si>
    <t>60 sec moving average</t>
  </si>
  <si>
    <t>3 min moving average</t>
  </si>
  <si>
    <t>Tradm</t>
  </si>
  <si>
    <t>Bankanglerad</t>
  </si>
  <si>
    <t>multiplier for distance effectively travelled on black</t>
  </si>
  <si>
    <t>average</t>
  </si>
  <si>
    <t>dist from black line apex</t>
  </si>
  <si>
    <t>Ramanujan perimeter of ellipse</t>
  </si>
  <si>
    <t>P ≈ π [ 3 (a + b) - √[(3a + b) (a + 3b) ]]</t>
  </si>
  <si>
    <t>Dist between straights</t>
  </si>
  <si>
    <t>r (=b)</t>
  </si>
  <si>
    <t>dist bends @ r</t>
  </si>
  <si>
    <t>dist straights</t>
  </si>
  <si>
    <t>% bend</t>
  </si>
  <si>
    <t>a = r + dist from apex)</t>
  </si>
  <si>
    <t>Ram. Ellipse perimeter black</t>
  </si>
  <si>
    <t>Ram. Ellipse perimeter travelled</t>
  </si>
  <si>
    <t>extra distance travelled</t>
  </si>
  <si>
    <t>multiplier</t>
  </si>
  <si>
    <t>Adelaide</t>
  </si>
  <si>
    <t>Brisbane</t>
  </si>
  <si>
    <t>Tokyo</t>
  </si>
  <si>
    <t>a</t>
  </si>
  <si>
    <t>alpha/speed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</si>
  <si>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</si>
  <si>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</si>
  <si>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</si>
  <si>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</si>
  <si>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</si>
  <si>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</si>
  <si>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</si>
  <si>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</si>
  <si>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</si>
  <si>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</si>
  <si>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</si>
  <si>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</si>
  <si>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</si>
  <si>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</si>
  <si>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</si>
  <si>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</si>
  <si>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</si>
  <si>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</si>
  <si>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</si>
  <si>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</si>
  <si>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</si>
  <si>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</si>
  <si>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</si>
  <si>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</si>
  <si>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</si>
  <si>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</si>
  <si>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</si>
  <si>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</si>
  <si>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</si>
  <si>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</si>
  <si>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</si>
  <si>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</si>
  <si>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</si>
  <si>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</si>
  <si>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</si>
  <si>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</si>
  <si>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</si>
  <si>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</si>
  <si>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</si>
  <si>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</si>
  <si>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</si>
  <si>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</si>
  <si>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</si>
  <si>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</si>
  <si>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</si>
  <si>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</si>
  <si>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</si>
  <si>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</si>
  <si>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</si>
  <si>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</si>
  <si>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</si>
  <si>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</si>
  <si>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</si>
  <si>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</si>
  <si>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</si>
  <si>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</si>
  <si>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</si>
  <si>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</si>
  <si>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</si>
  <si>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</si>
  <si>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</si>
  <si>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</si>
  <si>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</si>
  <si>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</si>
  <si>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</si>
  <si>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</si>
  <si>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</si>
  <si>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</si>
  <si>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</si>
  <si>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</si>
  <si>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</si>
  <si>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</si>
  <si>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</si>
  <si>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</si>
  <si>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</si>
  <si>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</si>
  <si>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</si>
  <si>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</si>
  <si>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</si>
  <si>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</si>
  <si>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</si>
  <si>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</si>
  <si>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</si>
  <si>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</si>
  <si>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</si>
  <si>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</si>
  <si>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</si>
  <si>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</si>
  <si>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</si>
  <si>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</si>
  <si>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</si>
  <si>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</si>
  <si>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</si>
  <si>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</si>
  <si>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</si>
  <si>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</si>
  <si>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</si>
  <si>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</si>
  <si>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</si>
  <si>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</si>
  <si>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</si>
  <si>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</si>
  <si>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</si>
  <si>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</si>
  <si>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</si>
  <si>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</si>
  <si>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</si>
  <si>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</si>
  <si>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</si>
  <si>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</si>
  <si>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</si>
  <si>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</si>
  <si>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</si>
  <si>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</si>
  <si>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</si>
  <si>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</si>
  <si>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</si>
  <si>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</si>
  <si>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</si>
  <si>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</si>
  <si>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</si>
  <si>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du</t>
  </si>
  <si>
    <t>dv</t>
  </si>
  <si>
    <t>dw</t>
  </si>
  <si>
    <t>dx</t>
  </si>
  <si>
    <t>dy</t>
  </si>
  <si>
    <t>dz</t>
  </si>
</sst>
</file>

<file path=xl/styles.xml><?xml version="1.0" encoding="utf-8"?>
<styleSheet xmlns="http://schemas.openxmlformats.org/spreadsheetml/2006/main">
  <numFmts count="12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%"/>
    <numFmt numFmtId="177" formatCode="0.000000"/>
    <numFmt numFmtId="178" formatCode="_-* #,##0.00_-;\-* #,##0.00_-;_-* &quot;-&quot;??_-;_-@_-"/>
    <numFmt numFmtId="179" formatCode="_-* #,##0_-;\-* #,##0_-;_-* &quot;-&quot;??_-;_-@_-"/>
    <numFmt numFmtId="180" formatCode="0.00000"/>
    <numFmt numFmtId="181" formatCode="0.0"/>
    <numFmt numFmtId="182" formatCode="mm:ss.00"/>
    <numFmt numFmtId="183" formatCode="0.0000"/>
    <numFmt numFmtId="184" formatCode="0.000"/>
  </numFmts>
  <fonts count="25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name val="等线"/>
      <charset val="134"/>
      <scheme val="minor"/>
    </font>
    <font>
      <sz val="11"/>
      <color theme="0" tint="-0.249977111117893"/>
      <name val="等线"/>
      <charset val="134"/>
      <scheme val="minor"/>
    </font>
    <font>
      <b/>
      <u/>
      <sz val="24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0" tint="-0.14999847407452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22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/>
    <xf numFmtId="0" fontId="9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center"/>
    </xf>
    <xf numFmtId="0" fontId="0" fillId="26" borderId="18" applyNumberFormat="0" applyFon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17" fillId="0" borderId="19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2" fillId="0" borderId="20" applyNumberFormat="0" applyFill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8" fillId="28" borderId="21" applyNumberFormat="0" applyAlignment="0" applyProtection="0">
      <alignment vertical="center"/>
    </xf>
    <xf numFmtId="0" fontId="19" fillId="28" borderId="17" applyNumberFormat="0" applyAlignment="0" applyProtection="0">
      <alignment vertical="center"/>
    </xf>
    <xf numFmtId="0" fontId="20" fillId="29" borderId="22" applyNumberForma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21" fillId="0" borderId="23" applyNumberFormat="0" applyFill="0" applyAlignment="0" applyProtection="0">
      <alignment vertical="center"/>
    </xf>
    <xf numFmtId="0" fontId="22" fillId="0" borderId="24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6" fillId="38" borderId="0" applyNumberFormat="0" applyBorder="0" applyAlignment="0" applyProtection="0">
      <alignment vertical="center"/>
    </xf>
    <xf numFmtId="0" fontId="6" fillId="39" borderId="0" applyNumberFormat="0" applyBorder="0" applyAlignment="0" applyProtection="0">
      <alignment vertical="center"/>
    </xf>
    <xf numFmtId="0" fontId="9" fillId="40" borderId="0" applyNumberFormat="0" applyBorder="0" applyAlignment="0" applyProtection="0">
      <alignment vertical="center"/>
    </xf>
    <xf numFmtId="0" fontId="6" fillId="41" borderId="0" applyNumberFormat="0" applyBorder="0" applyAlignment="0" applyProtection="0">
      <alignment vertical="center"/>
    </xf>
    <xf numFmtId="0" fontId="9" fillId="42" borderId="0" applyNumberFormat="0" applyBorder="0" applyAlignment="0" applyProtection="0">
      <alignment vertical="center"/>
    </xf>
    <xf numFmtId="0" fontId="9" fillId="4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</cellStyleXfs>
  <cellXfs count="99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18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1" applyFont="1"/>
    <xf numFmtId="181" fontId="0" fillId="0" borderId="0" xfId="0" applyNumberFormat="1"/>
    <xf numFmtId="183" fontId="0" fillId="0" borderId="0" xfId="0" applyNumberFormat="1"/>
    <xf numFmtId="0" fontId="0" fillId="0" borderId="1" xfId="0" applyBorder="1"/>
    <xf numFmtId="0" fontId="0" fillId="0" borderId="2" xfId="0" applyBorder="1"/>
    <xf numFmtId="184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horizontal="center" wrapText="1"/>
    </xf>
    <xf numFmtId="0" fontId="0" fillId="2" borderId="0" xfId="0" applyFill="1"/>
    <xf numFmtId="184" fontId="0" fillId="2" borderId="0" xfId="0" applyNumberFormat="1" applyFill="1"/>
    <xf numFmtId="0" fontId="2" fillId="3" borderId="0" xfId="0" applyFont="1" applyFill="1" applyAlignment="1">
      <alignment horizontal="left"/>
    </xf>
    <xf numFmtId="0" fontId="1" fillId="4" borderId="0" xfId="0" applyFont="1" applyFill="1"/>
    <xf numFmtId="0" fontId="1" fillId="4" borderId="0" xfId="0" applyFont="1" applyFill="1" applyAlignment="1">
      <alignment wrapText="1"/>
    </xf>
    <xf numFmtId="0" fontId="1" fillId="5" borderId="0" xfId="0" applyFont="1" applyFill="1"/>
    <xf numFmtId="2" fontId="0" fillId="0" borderId="0" xfId="0" applyNumberFormat="1" applyAlignment="1">
      <alignment horizontal="center"/>
    </xf>
    <xf numFmtId="177" fontId="0" fillId="0" borderId="0" xfId="0" applyNumberFormat="1"/>
    <xf numFmtId="0" fontId="1" fillId="6" borderId="0" xfId="0" applyFont="1" applyFill="1"/>
    <xf numFmtId="0" fontId="1" fillId="6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1" fontId="0" fillId="2" borderId="0" xfId="0" applyNumberFormat="1" applyFill="1"/>
    <xf numFmtId="1" fontId="0" fillId="0" borderId="0" xfId="0" applyNumberFormat="1"/>
    <xf numFmtId="10" fontId="0" fillId="0" borderId="0" xfId="11" applyNumberFormat="1" applyFont="1"/>
    <xf numFmtId="0" fontId="1" fillId="8" borderId="0" xfId="0" applyFont="1" applyFill="1" applyAlignment="1">
      <alignment wrapText="1"/>
    </xf>
    <xf numFmtId="0" fontId="1" fillId="9" borderId="0" xfId="0" applyFont="1" applyFill="1" applyAlignment="1">
      <alignment textRotation="180" wrapText="1"/>
    </xf>
    <xf numFmtId="0" fontId="1" fillId="5" borderId="0" xfId="0" applyFont="1" applyFill="1" applyAlignment="1">
      <alignment horizontal="center" textRotation="180" wrapText="1"/>
    </xf>
    <xf numFmtId="0" fontId="1" fillId="10" borderId="0" xfId="0" applyFont="1" applyFill="1" applyAlignment="1">
      <alignment textRotation="180" wrapText="1"/>
    </xf>
    <xf numFmtId="0" fontId="1" fillId="11" borderId="0" xfId="0" applyFont="1" applyFill="1" applyAlignment="1">
      <alignment textRotation="180" wrapText="1"/>
    </xf>
    <xf numFmtId="0" fontId="1" fillId="12" borderId="0" xfId="0" applyFont="1" applyFill="1" applyAlignment="1">
      <alignment textRotation="180" wrapText="1"/>
    </xf>
    <xf numFmtId="0" fontId="1" fillId="13" borderId="0" xfId="0" applyFont="1" applyFill="1" applyAlignment="1">
      <alignment textRotation="180" wrapText="1"/>
    </xf>
    <xf numFmtId="0" fontId="3" fillId="14" borderId="0" xfId="0" applyFont="1" applyFill="1"/>
    <xf numFmtId="0" fontId="3" fillId="11" borderId="0" xfId="0" applyFont="1" applyFill="1" applyAlignment="1">
      <alignment textRotation="180" wrapText="1"/>
    </xf>
    <xf numFmtId="0" fontId="3" fillId="6" borderId="0" xfId="0" applyFont="1" applyFill="1" applyAlignment="1">
      <alignment textRotation="180" wrapText="1"/>
    </xf>
    <xf numFmtId="0" fontId="1" fillId="0" borderId="1" xfId="0" applyFont="1" applyBorder="1"/>
    <xf numFmtId="0" fontId="3" fillId="15" borderId="0" xfId="0" applyFont="1" applyFill="1" applyAlignment="1">
      <alignment textRotation="180" wrapText="1"/>
    </xf>
    <xf numFmtId="0" fontId="3" fillId="14" borderId="1" xfId="0" applyFont="1" applyFill="1" applyBorder="1" applyAlignment="1">
      <alignment textRotation="180" wrapText="1"/>
    </xf>
    <xf numFmtId="179" fontId="0" fillId="0" borderId="0" xfId="8" applyNumberFormat="1" applyFont="1" applyFill="1"/>
    <xf numFmtId="178" fontId="0" fillId="16" borderId="0" xfId="0" applyNumberFormat="1" applyFill="1"/>
    <xf numFmtId="178" fontId="0" fillId="0" borderId="0" xfId="0" applyNumberFormat="1"/>
    <xf numFmtId="0" fontId="3" fillId="14" borderId="0" xfId="0" applyFont="1" applyFill="1" applyAlignment="1">
      <alignment textRotation="180" wrapText="1"/>
    </xf>
    <xf numFmtId="178" fontId="0" fillId="16" borderId="2" xfId="0" applyNumberFormat="1" applyFill="1" applyBorder="1"/>
    <xf numFmtId="0" fontId="3" fillId="14" borderId="2" xfId="0" applyFont="1" applyFill="1" applyBorder="1" applyAlignment="1">
      <alignment textRotation="180" wrapText="1"/>
    </xf>
    <xf numFmtId="0" fontId="1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1" xfId="0" applyBorder="1" applyAlignment="1">
      <alignment horizontal="center"/>
    </xf>
    <xf numFmtId="0" fontId="0" fillId="9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/>
    <xf numFmtId="0" fontId="0" fillId="4" borderId="0" xfId="0" applyFill="1"/>
    <xf numFmtId="0" fontId="0" fillId="17" borderId="0" xfId="0" applyFill="1"/>
    <xf numFmtId="0" fontId="0" fillId="18" borderId="0" xfId="0" applyFill="1"/>
    <xf numFmtId="0" fontId="0" fillId="0" borderId="6" xfId="0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/>
    <xf numFmtId="0" fontId="0" fillId="19" borderId="0" xfId="0" applyFill="1"/>
    <xf numFmtId="0" fontId="0" fillId="20" borderId="0" xfId="0" applyFill="1"/>
    <xf numFmtId="0" fontId="1" fillId="0" borderId="9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84" fontId="0" fillId="12" borderId="0" xfId="0" applyNumberFormat="1" applyFill="1"/>
    <xf numFmtId="0" fontId="0" fillId="0" borderId="13" xfId="0" applyBorder="1"/>
    <xf numFmtId="2" fontId="0" fillId="12" borderId="0" xfId="0" applyNumberFormat="1" applyFill="1"/>
    <xf numFmtId="183" fontId="0" fillId="12" borderId="0" xfId="0" applyNumberFormat="1" applyFill="1"/>
    <xf numFmtId="1" fontId="0" fillId="12" borderId="0" xfId="0" applyNumberFormat="1" applyFill="1"/>
    <xf numFmtId="9" fontId="0" fillId="9" borderId="0" xfId="11" applyFont="1" applyFill="1" applyAlignment="1">
      <alignment horizontal="center"/>
    </xf>
    <xf numFmtId="0" fontId="0" fillId="0" borderId="14" xfId="0" applyBorder="1"/>
    <xf numFmtId="1" fontId="0" fillId="12" borderId="15" xfId="0" applyNumberFormat="1" applyFill="1" applyBorder="1"/>
    <xf numFmtId="0" fontId="0" fillId="0" borderId="16" xfId="0" applyBorder="1"/>
    <xf numFmtId="1" fontId="1" fillId="2" borderId="0" xfId="0" applyNumberFormat="1" applyFont="1" applyFill="1" applyAlignment="1">
      <alignment horizontal="center"/>
    </xf>
    <xf numFmtId="176" fontId="0" fillId="9" borderId="0" xfId="11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9" borderId="0" xfId="0" applyFill="1"/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184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0" fontId="2" fillId="0" borderId="0" xfId="0" applyFont="1" applyAlignment="1">
      <alignment horizontal="right"/>
    </xf>
    <xf numFmtId="182" fontId="5" fillId="0" borderId="0" xfId="0" applyNumberFormat="1" applyFont="1"/>
    <xf numFmtId="0" fontId="2" fillId="0" borderId="0" xfId="0" applyFont="1"/>
    <xf numFmtId="0" fontId="1" fillId="0" borderId="0" xfId="0" applyFont="1" applyAlignment="1">
      <alignment horizontal="center" wrapText="1"/>
    </xf>
    <xf numFmtId="47" fontId="5" fillId="0" borderId="0" xfId="0" applyNumberFormat="1" applyFont="1"/>
    <xf numFmtId="1" fontId="0" fillId="14" borderId="0" xfId="0" applyNumberFormat="1" applyFill="1"/>
    <xf numFmtId="2" fontId="0" fillId="14" borderId="0" xfId="0" applyNumberFormat="1" applyFill="1"/>
    <xf numFmtId="181" fontId="0" fillId="0" borderId="0" xfId="0" applyNumberFormat="1" applyAlignment="1">
      <alignment horizont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3.xml"/><Relationship Id="rId7" Type="http://schemas.openxmlformats.org/officeDocument/2006/relationships/customXml" Target="../customXml/item2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4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Half lap splits - pursuit line to pursuit line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marker"/>
        <c:varyColors val="1"/>
        <c:ser>
          <c:idx val="0"/>
          <c:order val="0"/>
          <c:tx>
            <c:strRef>
              <c:f>Input_Output!$H$2</c:f>
              <c:strCache>
                <c:ptCount val="1"/>
                <c:pt idx="0">
                  <c:v>rider1</c:v>
                </c:pt>
              </c:strCache>
            </c:strRef>
          </c:tx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12"/>
            <c:spPr>
              <a:solidFill>
                <a:srgbClr val="00B050"/>
              </a:solidFill>
              <a:ln w="9525" cap="flat" cmpd="sng" algn="ctr">
                <a:solidFill>
                  <a:srgbClr val="00B050"/>
                </a:solidFill>
                <a:prstDash val="solid"/>
                <a:round/>
              </a:ln>
              <a:effectLst/>
            </c:spPr>
          </c:marker>
          <c:dLbls>
            <c:delete val="1"/>
          </c:dLbls>
          <c:xVal>
            <c:numRef>
              <c:f>Input_Output!$AH$11:$AH$42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Input_Output!$Y$11:$Y$42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Input_Output!$H$3</c:f>
              <c:strCache>
                <c:ptCount val="1"/>
                <c:pt idx="0">
                  <c:v>rider2</c:v>
                </c:pt>
              </c:strCache>
            </c:strRef>
          </c:tx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dLbls>
            <c:delete val="1"/>
          </c:dLbls>
          <c:xVal>
            <c:numRef>
              <c:f>Input_Output!$AH$11:$AH$42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Input_Output!$Z$11:$Z$42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Input_Output!$H$4</c:f>
              <c:strCache>
                <c:ptCount val="1"/>
                <c:pt idx="0">
                  <c:v>rider3</c:v>
                </c:pt>
              </c:strCache>
            </c:strRef>
          </c:tx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12"/>
            <c:spPr>
              <a:solidFill>
                <a:srgbClr val="FF0000"/>
              </a:solidFill>
              <a:ln w="9525" cap="flat" cmpd="sng" algn="ctr">
                <a:solidFill>
                  <a:srgbClr val="FF0000"/>
                </a:solidFill>
                <a:prstDash val="solid"/>
                <a:round/>
              </a:ln>
              <a:effectLst/>
            </c:spPr>
          </c:marker>
          <c:dLbls>
            <c:delete val="1"/>
          </c:dLbls>
          <c:xVal>
            <c:numRef>
              <c:f>Input_Output!$AH$11:$AH$42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Input_Output!$AA$11:$AA$42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Input_Output!$H$5</c:f>
              <c:strCache>
                <c:ptCount val="1"/>
                <c:pt idx="0">
                  <c:v>rider4</c:v>
                </c:pt>
              </c:strCache>
            </c:strRef>
          </c:tx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12"/>
            <c:spPr>
              <a:solidFill>
                <a:srgbClr val="7030A0"/>
              </a:solidFill>
              <a:ln w="9525" cap="flat" cmpd="sng" algn="ctr">
                <a:solidFill>
                  <a:srgbClr val="7030A0"/>
                </a:solidFill>
                <a:prstDash val="solid"/>
                <a:round/>
              </a:ln>
              <a:effectLst/>
            </c:spPr>
          </c:marker>
          <c:dLbls>
            <c:delete val="1"/>
          </c:dLbls>
          <c:xVal>
            <c:numRef>
              <c:f>Input_Output!$AH$11:$AH$42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Input_Output!$AB$11:$AB$42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Input_Output!$H$6</c:f>
              <c:strCache>
                <c:ptCount val="1"/>
                <c:pt idx="0">
                  <c:v>rider5</c:v>
                </c:pt>
              </c:strCache>
            </c:strRef>
          </c:tx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prstDash val="solid"/>
                <a:round/>
              </a:ln>
              <a:effectLst/>
            </c:spPr>
          </c:marker>
          <c:dLbls>
            <c:delete val="1"/>
          </c:dLbls>
          <c:xVal>
            <c:numRef>
              <c:f>Input_Output!$AH$11:$AH$42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Input_Output!$AC$11:$AC$42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191648"/>
        <c:axId val="618192304"/>
      </c:scatterChart>
      <c:valAx>
        <c:axId val="618191648"/>
        <c:scaling>
          <c:orientation val="minMax"/>
          <c:max val="32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 lap #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18192304"/>
        <c:crosses val="autoZero"/>
        <c:crossBetween val="midCat"/>
        <c:majorUnit val="2"/>
      </c:valAx>
      <c:valAx>
        <c:axId val="618192304"/>
        <c:scaling>
          <c:orientation val="maxMin"/>
          <c:max val="8"/>
          <c:min val="6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time, seconds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18191648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0966785974078"/>
          <c:y val="0.634061642947373"/>
          <c:w val="0.0564648936281868"/>
          <c:h val="0.3137909281351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zh-CN" sz="1200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4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Total energy - ride</a:t>
            </a:r>
            <a:endParaRPr lang="en-GB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Calcs!$BV$2</c:f>
              <c:strCache>
                <c:ptCount val="1"/>
                <c:pt idx="0">
                  <c:v>#DIV/0!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Calcs!$BV$3:$BV$30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Calcs!$CG$2</c:f>
              <c:strCache>
                <c:ptCount val="1"/>
                <c:pt idx="0">
                  <c:v>E, cumulative energy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Calcs!$CG$3:$CG$30</c:f>
              <c:numCache>
                <c:formatCode>General</c:formatCode>
                <c:ptCount val="28"/>
                <c:pt idx="0">
                  <c:v>0.209908138259906</c:v>
                </c:pt>
                <c:pt idx="1">
                  <c:v>0.615939555466959</c:v>
                </c:pt>
                <c:pt idx="2">
                  <c:v>1.21705705955124</c:v>
                </c:pt>
                <c:pt idx="3">
                  <c:v>2.01222006778422</c:v>
                </c:pt>
                <c:pt idx="4">
                  <c:v>3.0003857631729</c:v>
                </c:pt>
                <c:pt idx="5">
                  <c:v>4.18051231707332</c:v>
                </c:pt>
                <c:pt idx="6">
                  <c:v>5.55156006761066</c:v>
                </c:pt>
                <c:pt idx="7">
                  <c:v>7.11249187548364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Calcs!$CR$2</c:f>
              <c:strCache>
                <c:ptCount val="1"/>
                <c:pt idx="0">
                  <c:v>D, cumulative energy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Calcs!$CR$3:$CR$30</c:f>
              <c:numCache>
                <c:formatCode>General</c:formatCode>
                <c:ptCount val="28"/>
                <c:pt idx="0">
                  <c:v>0.230897677085897</c:v>
                </c:pt>
                <c:pt idx="1">
                  <c:v>0.677529736619843</c:v>
                </c:pt>
                <c:pt idx="2">
                  <c:v>1.33875333117278</c:v>
                </c:pt>
                <c:pt idx="3">
                  <c:v>2.21342106748123</c:v>
                </c:pt>
                <c:pt idx="4">
                  <c:v>3.30038226200116</c:v>
                </c:pt>
                <c:pt idx="5">
                  <c:v>4.59848647832695</c:v>
                </c:pt>
                <c:pt idx="6">
                  <c:v>6.10658482659233</c:v>
                </c:pt>
                <c:pt idx="7">
                  <c:v>7.82353036194662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Calcs!$DC$2</c:f>
              <c:strCache>
                <c:ptCount val="1"/>
                <c:pt idx="0">
                  <c:v>B, cumulative energy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Calcs!$DC$3:$DC$30</c:f>
              <c:numCache>
                <c:formatCode>General</c:formatCode>
                <c:ptCount val="28"/>
                <c:pt idx="0">
                  <c:v>0.236145399292395</c:v>
                </c:pt>
                <c:pt idx="1">
                  <c:v>0.692928281012309</c:v>
                </c:pt>
                <c:pt idx="2">
                  <c:v>1.36917989640176</c:v>
                </c:pt>
                <c:pt idx="3">
                  <c:v>2.2637268781035</c:v>
                </c:pt>
                <c:pt idx="4">
                  <c:v>3.37539252486709</c:v>
                </c:pt>
                <c:pt idx="5">
                  <c:v>4.70300041964281</c:v>
                </c:pt>
                <c:pt idx="6">
                  <c:v>6.245375758397</c:v>
                </c:pt>
                <c:pt idx="7">
                  <c:v>8.00134575737908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649616"/>
        <c:axId val="1201635472"/>
      </c:scatterChart>
      <c:valAx>
        <c:axId val="1201649616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time, sec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01635472"/>
        <c:crosses val="autoZero"/>
        <c:crossBetween val="midCat"/>
        <c:majorUnit val="5"/>
      </c:valAx>
      <c:valAx>
        <c:axId val="120163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 ride energy, Joules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0164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1200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Rider energy level report</a:t>
            </a:r>
            <a:endParaRPr lang="en-AU" b="1"/>
          </a:p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Total and over-CP</a:t>
            </a:r>
            <a:endParaRPr lang="en-AU" b="1"/>
          </a:p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Percentage of defined</a:t>
            </a:r>
            <a:r>
              <a:rPr lang="en-AU" b="1" baseline="0"/>
              <a:t> maximum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Input_Output!$AK$1</c:f>
              <c:strCache>
                <c:ptCount val="1"/>
                <c:pt idx="0">
                  <c:v>Energy total, KJ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Input_Output!$H$2:$H$6</c:f>
              <c:strCache>
                <c:ptCount val="5"/>
                <c:pt idx="0">
                  <c:v>rider1</c:v>
                </c:pt>
                <c:pt idx="1">
                  <c:v>rider2</c:v>
                </c:pt>
                <c:pt idx="2">
                  <c:v>rider3</c:v>
                </c:pt>
                <c:pt idx="3">
                  <c:v>rider4</c:v>
                </c:pt>
                <c:pt idx="4">
                  <c:v>rider5</c:v>
                </c:pt>
              </c:strCache>
            </c:strRef>
          </c:cat>
          <c:val>
            <c:numRef>
              <c:f>Input_Output!$AK$2:$AK$6</c:f>
              <c:numCache>
                <c:formatCode>0%</c:formatCode>
                <c:ptCount val="5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Input_Output!$AL$1</c:f>
              <c:strCache>
                <c:ptCount val="1"/>
                <c:pt idx="0">
                  <c:v>Over CP energy, KJ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Input_Output!$H$2:$H$6</c:f>
              <c:strCache>
                <c:ptCount val="5"/>
                <c:pt idx="0">
                  <c:v>rider1</c:v>
                </c:pt>
                <c:pt idx="1">
                  <c:v>rider2</c:v>
                </c:pt>
                <c:pt idx="2">
                  <c:v>rider3</c:v>
                </c:pt>
                <c:pt idx="3">
                  <c:v>rider4</c:v>
                </c:pt>
                <c:pt idx="4">
                  <c:v>rider5</c:v>
                </c:pt>
              </c:strCache>
            </c:strRef>
          </c:cat>
          <c:val>
            <c:numRef>
              <c:f>Input_Output!$AL$2:$AL$6</c:f>
              <c:numCache>
                <c:formatCode>0%</c:formatCode>
                <c:ptCount val="5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458768"/>
        <c:axId val="82464176"/>
      </c:barChart>
      <c:catAx>
        <c:axId val="8245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464176"/>
        <c:crosses val="autoZero"/>
        <c:auto val="1"/>
        <c:lblAlgn val="ctr"/>
        <c:lblOffset val="100"/>
        <c:noMultiLvlLbl val="0"/>
      </c:catAx>
      <c:valAx>
        <c:axId val="82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Ride</a:t>
                </a:r>
                <a:r>
                  <a:rPr lang="en-AU" baseline="0"/>
                  <a:t> energy, % Max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45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Rider power duration report</a:t>
            </a:r>
            <a:endParaRPr lang="en-AU" b="1"/>
          </a:p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Percentage of defined maximum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Input_Output!$AM$1</c:f>
              <c:strCache>
                <c:ptCount val="1"/>
                <c:pt idx="0">
                  <c:v>5 sec power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Input_Output!$H$2:$H$6</c:f>
              <c:strCache>
                <c:ptCount val="5"/>
                <c:pt idx="0">
                  <c:v>rider1</c:v>
                </c:pt>
                <c:pt idx="1">
                  <c:v>rider2</c:v>
                </c:pt>
                <c:pt idx="2">
                  <c:v>rider3</c:v>
                </c:pt>
                <c:pt idx="3">
                  <c:v>rider4</c:v>
                </c:pt>
                <c:pt idx="4">
                  <c:v>rider5</c:v>
                </c:pt>
              </c:strCache>
            </c:strRef>
          </c:cat>
          <c:val>
            <c:numRef>
              <c:f>Input_Output!$AM$2:$AM$6</c:f>
              <c:numCache>
                <c:formatCode>0%</c:formatCode>
                <c:ptCount val="5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Input_Output!$AN$1</c:f>
              <c:strCache>
                <c:ptCount val="1"/>
                <c:pt idx="0">
                  <c:v>1 min power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Input_Output!$H$2:$H$6</c:f>
              <c:strCache>
                <c:ptCount val="5"/>
                <c:pt idx="0">
                  <c:v>rider1</c:v>
                </c:pt>
                <c:pt idx="1">
                  <c:v>rider2</c:v>
                </c:pt>
                <c:pt idx="2">
                  <c:v>rider3</c:v>
                </c:pt>
                <c:pt idx="3">
                  <c:v>rider4</c:v>
                </c:pt>
                <c:pt idx="4">
                  <c:v>rider5</c:v>
                </c:pt>
              </c:strCache>
            </c:strRef>
          </c:cat>
          <c:val>
            <c:numRef>
              <c:f>Input_Output!$AN$2:$AN$6</c:f>
              <c:numCache>
                <c:formatCode>0%</c:formatCode>
                <c:ptCount val="5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Input_Output!$AO$1</c:f>
              <c:strCache>
                <c:ptCount val="1"/>
                <c:pt idx="0">
                  <c:v>3 min power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Input_Output!$H$2:$H$6</c:f>
              <c:strCache>
                <c:ptCount val="5"/>
                <c:pt idx="0">
                  <c:v>rider1</c:v>
                </c:pt>
                <c:pt idx="1">
                  <c:v>rider2</c:v>
                </c:pt>
                <c:pt idx="2">
                  <c:v>rider3</c:v>
                </c:pt>
                <c:pt idx="3">
                  <c:v>rider4</c:v>
                </c:pt>
                <c:pt idx="4">
                  <c:v>rider5</c:v>
                </c:pt>
              </c:strCache>
            </c:strRef>
          </c:cat>
          <c:val>
            <c:numRef>
              <c:f>Input_Output!$AO$2:$AO$6</c:f>
              <c:numCache>
                <c:formatCode>0%</c:formatCode>
                <c:ptCount val="5"/>
                <c:pt idx="0">
                  <c:v>#N/A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3612592"/>
        <c:axId val="1243611344"/>
      </c:barChart>
      <c:catAx>
        <c:axId val="124361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3611344"/>
        <c:crosses val="autoZero"/>
        <c:auto val="1"/>
        <c:lblAlgn val="ctr"/>
        <c:lblOffset val="100"/>
        <c:noMultiLvlLbl val="0"/>
      </c:catAx>
      <c:valAx>
        <c:axId val="12436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Ride power duration, % of max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361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Power spent on accelerating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Calcs!$BC$2</c:f>
              <c:strCache>
                <c:ptCount val="1"/>
                <c:pt idx="0">
                  <c:v>P1 accel power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Calcs!$BC$3:$BC$30</c:f>
              <c:numCache>
                <c:formatCode>General</c:formatCode>
                <c:ptCount val="28"/>
                <c:pt idx="0">
                  <c:v>8.85388008073439</c:v>
                </c:pt>
                <c:pt idx="1">
                  <c:v>17.2673524619998</c:v>
                </c:pt>
                <c:pt idx="2">
                  <c:v>25.5980177729741</c:v>
                </c:pt>
                <c:pt idx="3">
                  <c:v>33.8623575932742</c:v>
                </c:pt>
                <c:pt idx="4">
                  <c:v>42.073700680651</c:v>
                </c:pt>
                <c:pt idx="5">
                  <c:v>50.2367460415756</c:v>
                </c:pt>
                <c:pt idx="6">
                  <c:v>58.3530399420178</c:v>
                </c:pt>
                <c:pt idx="7">
                  <c:v>66.4231790321805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Calcs!$BG$2</c:f>
              <c:strCache>
                <c:ptCount val="1"/>
                <c:pt idx="0">
                  <c:v>P2 accel power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Calcs!$BG$3:$BG$30</c:f>
              <c:numCache>
                <c:formatCode>General</c:formatCode>
                <c:ptCount val="28"/>
                <c:pt idx="0">
                  <c:v>8.04898189157672</c:v>
                </c:pt>
                <c:pt idx="1">
                  <c:v>15.6975931472725</c:v>
                </c:pt>
                <c:pt idx="2">
                  <c:v>23.2709252481583</c:v>
                </c:pt>
                <c:pt idx="3">
                  <c:v>30.7839614484311</c:v>
                </c:pt>
                <c:pt idx="4">
                  <c:v>38.2488188005919</c:v>
                </c:pt>
                <c:pt idx="5">
                  <c:v>45.6697691287051</c:v>
                </c:pt>
                <c:pt idx="6">
                  <c:v>53.0482181291071</c:v>
                </c:pt>
                <c:pt idx="7">
                  <c:v>60.3847082110732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Calcs!$BL$2</c:f>
              <c:strCache>
                <c:ptCount val="1"/>
                <c:pt idx="0">
                  <c:v>P3 accel power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Calcs!$BL$3:$BL$30</c:f>
              <c:numCache>
                <c:formatCode>General</c:formatCode>
                <c:ptCount val="28"/>
                <c:pt idx="0">
                  <c:v>8.85388008073439</c:v>
                </c:pt>
                <c:pt idx="1">
                  <c:v>17.2673524619998</c:v>
                </c:pt>
                <c:pt idx="2">
                  <c:v>25.5980177729741</c:v>
                </c:pt>
                <c:pt idx="3">
                  <c:v>33.8623575932742</c:v>
                </c:pt>
                <c:pt idx="4">
                  <c:v>42.073700680651</c:v>
                </c:pt>
                <c:pt idx="5">
                  <c:v>50.2367460415756</c:v>
                </c:pt>
                <c:pt idx="6">
                  <c:v>58.3530399420178</c:v>
                </c:pt>
                <c:pt idx="7">
                  <c:v>66.4231790321805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Calcs!$BQ$2</c:f>
              <c:strCache>
                <c:ptCount val="1"/>
                <c:pt idx="0">
                  <c:v>P4 accel power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Calcs!$B$3:$B$30</c:f>
              <c:numCache>
                <c:formatCode>General</c:formatCode>
                <c:ptCount val="28"/>
                <c:pt idx="0">
                  <c:v>0.025</c:v>
                </c:pt>
                <c:pt idx="1">
                  <c:v>0.05</c:v>
                </c:pt>
                <c:pt idx="2">
                  <c:v>0.075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0.175</c:v>
                </c:pt>
                <c:pt idx="7">
                  <c:v>0.2</c:v>
                </c:pt>
                <c:pt idx="8">
                  <c:v>0.225</c:v>
                </c:pt>
                <c:pt idx="9">
                  <c:v>0.25</c:v>
                </c:pt>
                <c:pt idx="10">
                  <c:v>0.275</c:v>
                </c:pt>
                <c:pt idx="11">
                  <c:v>0.3</c:v>
                </c:pt>
                <c:pt idx="12">
                  <c:v>0.325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0.425</c:v>
                </c:pt>
                <c:pt idx="17">
                  <c:v>0.45</c:v>
                </c:pt>
                <c:pt idx="18">
                  <c:v>0.475</c:v>
                </c:pt>
                <c:pt idx="19">
                  <c:v>0.5</c:v>
                </c:pt>
                <c:pt idx="20">
                  <c:v>0.525</c:v>
                </c:pt>
                <c:pt idx="21">
                  <c:v>0.55</c:v>
                </c:pt>
                <c:pt idx="22">
                  <c:v>0.575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</c:v>
                </c:pt>
                <c:pt idx="27">
                  <c:v>0.7</c:v>
                </c:pt>
              </c:numCache>
            </c:numRef>
          </c:xVal>
          <c:yVal>
            <c:numRef>
              <c:f>Calcs!$BQ$3:$BQ$30</c:f>
              <c:numCache>
                <c:formatCode>General</c:formatCode>
                <c:ptCount val="28"/>
                <c:pt idx="0">
                  <c:v>9.05510462802381</c:v>
                </c:pt>
                <c:pt idx="1">
                  <c:v>17.6597922906816</c:v>
                </c:pt>
                <c:pt idx="2">
                  <c:v>26.179790904178</c:v>
                </c:pt>
                <c:pt idx="3">
                  <c:v>34.631956629485</c:v>
                </c:pt>
                <c:pt idx="4">
                  <c:v>43.0299211506658</c:v>
                </c:pt>
                <c:pt idx="5">
                  <c:v>51.3784902697932</c:v>
                </c:pt>
                <c:pt idx="6">
                  <c:v>59.6792453952455</c:v>
                </c:pt>
                <c:pt idx="7">
                  <c:v>67.9327967374574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951216"/>
        <c:axId val="1539952464"/>
      </c:scatterChart>
      <c:valAx>
        <c:axId val="153995121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time, sec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39952464"/>
        <c:crosses val="autoZero"/>
        <c:crossBetween val="midCat"/>
      </c:valAx>
      <c:valAx>
        <c:axId val="1539952464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Power on acceleration, Watts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53995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"/>
        <c:varyColors val="0"/>
        <c:ser>
          <c:idx val="0"/>
          <c:order val="0"/>
          <c:tx>
            <c:strRef>
              <c:f>"vel com"</c:f>
              <c:strCache>
                <c:ptCount val="1"/>
                <c:pt idx="0">
                  <c:v>vel com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yVal>
            <c:numRef>
              <c:f>Calcs!$K$2:$K$30</c:f>
              <c:numCache>
                <c:formatCode>General</c:formatCode>
                <c:ptCount val="29"/>
                <c:pt idx="0">
                  <c:v>0</c:v>
                </c:pt>
                <c:pt idx="1">
                  <c:v>0.1</c:v>
                </c:pt>
                <c:pt idx="2">
                  <c:v>0.125153068411177</c:v>
                </c:pt>
                <c:pt idx="3">
                  <c:v>0.164349053941521</c:v>
                </c:pt>
                <c:pt idx="4">
                  <c:v>0.208597341142718</c:v>
                </c:pt>
                <c:pt idx="5">
                  <c:v>0.254714841490208</c:v>
                </c:pt>
                <c:pt idx="6">
                  <c:v>0.30164086984904</c:v>
                </c:pt>
                <c:pt idx="7">
                  <c:v>0.34895475957447</c:v>
                </c:pt>
                <c:pt idx="8">
                  <c:v>0.396461113078751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Calcs!$N$2</c:f>
              <c:strCache>
                <c:ptCount val="1"/>
                <c:pt idx="0">
                  <c:v>wheel_speed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yVal>
            <c:numRef>
              <c:f>Calcs!$N$3:$N$30</c:f>
              <c:numCache>
                <c:formatCode>General</c:formatCode>
                <c:ptCount val="28"/>
                <c:pt idx="0">
                  <c:v>0.1</c:v>
                </c:pt>
                <c:pt idx="1">
                  <c:v>0.10000000000105</c:v>
                </c:pt>
                <c:pt idx="2">
                  <c:v>0.125153068412491</c:v>
                </c:pt>
                <c:pt idx="3">
                  <c:v>0.164349053944224</c:v>
                </c:pt>
                <c:pt idx="4">
                  <c:v>0.208597341148634</c:v>
                </c:pt>
                <c:pt idx="5">
                  <c:v>0.254714841501845</c:v>
                </c:pt>
                <c:pt idx="6">
                  <c:v>0.301640869869588</c:v>
                </c:pt>
                <c:pt idx="7">
                  <c:v>0.348954759607807</c:v>
                </c:pt>
                <c:pt idx="8">
                  <c:v>0.396461113129439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647375"/>
        <c:axId val="689647791"/>
      </c:scatterChart>
      <c:valAx>
        <c:axId val="689647375"/>
        <c:scaling>
          <c:orientation val="minMax"/>
          <c:max val="1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9647791"/>
        <c:crosses val="autoZero"/>
        <c:crossBetween val="midCat"/>
      </c:valAx>
      <c:valAx>
        <c:axId val="68964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9647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1400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571499</xdr:colOff>
      <xdr:row>0</xdr:row>
      <xdr:rowOff>180974</xdr:rowOff>
    </xdr:from>
    <xdr:to>
      <xdr:col>22</xdr:col>
      <xdr:colOff>9525</xdr:colOff>
      <xdr:row>30</xdr:row>
      <xdr:rowOff>142875</xdr:rowOff>
    </xdr:to>
    <xdr:graphicFrame>
      <xdr:nvGraphicFramePr>
        <xdr:cNvPr id="2" name="Chart 1"/>
        <xdr:cNvGraphicFramePr/>
      </xdr:nvGraphicFramePr>
      <xdr:xfrm>
        <a:off x="570865" y="171450"/>
        <a:ext cx="14526260" cy="51149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31</xdr:row>
      <xdr:rowOff>85725</xdr:rowOff>
    </xdr:from>
    <xdr:to>
      <xdr:col>22</xdr:col>
      <xdr:colOff>9525</xdr:colOff>
      <xdr:row>65</xdr:row>
      <xdr:rowOff>28575</xdr:rowOff>
    </xdr:to>
    <xdr:graphicFrame>
      <xdr:nvGraphicFramePr>
        <xdr:cNvPr id="3" name="Chart 2"/>
        <xdr:cNvGraphicFramePr/>
      </xdr:nvGraphicFramePr>
      <xdr:xfrm>
        <a:off x="600075" y="5400675"/>
        <a:ext cx="14497050" cy="57721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438149</xdr:colOff>
      <xdr:row>0</xdr:row>
      <xdr:rowOff>179916</xdr:rowOff>
    </xdr:from>
    <xdr:to>
      <xdr:col>36</xdr:col>
      <xdr:colOff>444500</xdr:colOff>
      <xdr:row>30</xdr:row>
      <xdr:rowOff>179917</xdr:rowOff>
    </xdr:to>
    <xdr:graphicFrame>
      <xdr:nvGraphicFramePr>
        <xdr:cNvPr id="4" name="Chart 3"/>
        <xdr:cNvGraphicFramePr/>
      </xdr:nvGraphicFramePr>
      <xdr:xfrm>
        <a:off x="15525115" y="171450"/>
        <a:ext cx="9608185" cy="5143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447675</xdr:colOff>
      <xdr:row>31</xdr:row>
      <xdr:rowOff>123824</xdr:rowOff>
    </xdr:from>
    <xdr:to>
      <xdr:col>36</xdr:col>
      <xdr:colOff>419100</xdr:colOff>
      <xdr:row>59</xdr:row>
      <xdr:rowOff>95250</xdr:rowOff>
    </xdr:to>
    <xdr:graphicFrame>
      <xdr:nvGraphicFramePr>
        <xdr:cNvPr id="5" name="Chart 4"/>
        <xdr:cNvGraphicFramePr/>
      </xdr:nvGraphicFramePr>
      <xdr:xfrm>
        <a:off x="15535275" y="5438140"/>
        <a:ext cx="9572625" cy="4772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1</xdr:row>
      <xdr:rowOff>0</xdr:rowOff>
    </xdr:from>
    <xdr:to>
      <xdr:col>54</xdr:col>
      <xdr:colOff>381000</xdr:colOff>
      <xdr:row>31</xdr:row>
      <xdr:rowOff>42333</xdr:rowOff>
    </xdr:to>
    <xdr:graphicFrame>
      <xdr:nvGraphicFramePr>
        <xdr:cNvPr id="6" name="Chart 5"/>
        <xdr:cNvGraphicFramePr/>
      </xdr:nvGraphicFramePr>
      <xdr:xfrm>
        <a:off x="25374600" y="171450"/>
        <a:ext cx="12039600" cy="518541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22</xdr:col>
      <xdr:colOff>835703</xdr:colOff>
      <xdr:row>21</xdr:row>
      <xdr:rowOff>182082</xdr:rowOff>
    </xdr:from>
    <xdr:to>
      <xdr:col>36</xdr:col>
      <xdr:colOff>97630</xdr:colOff>
      <xdr:row>29</xdr:row>
      <xdr:rowOff>83343</xdr:rowOff>
    </xdr:to>
    <xdr:graphicFrame>
      <xdr:nvGraphicFramePr>
        <xdr:cNvPr id="3" name="Chart 2"/>
        <xdr:cNvGraphicFramePr/>
      </xdr:nvGraphicFramePr>
      <xdr:xfrm>
        <a:off x="18804890" y="5060950"/>
        <a:ext cx="13627735" cy="12833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B88"/>
  <sheetViews>
    <sheetView tabSelected="1" zoomScale="80" zoomScaleNormal="80" topLeftCell="A23" workbookViewId="0">
      <selection activeCell="H31" sqref="H31"/>
    </sheetView>
  </sheetViews>
  <sheetFormatPr defaultColWidth="9" defaultRowHeight="13.5"/>
  <cols>
    <col min="1" max="1" width="27" style="4" customWidth="1"/>
    <col min="2" max="2" width="11.5666666666667" style="4" customWidth="1"/>
    <col min="3" max="3" width="41.7083333333333" style="4" customWidth="1"/>
    <col min="4" max="4" width="11.7083333333333" style="4" customWidth="1"/>
    <col min="5" max="5" width="11.5666666666667" customWidth="1"/>
    <col min="6" max="6" width="37.8583333333333" customWidth="1"/>
    <col min="7" max="7" width="11" customWidth="1"/>
    <col min="8" max="8" width="19.7083333333333" customWidth="1"/>
    <col min="9" max="9" width="11.8583333333333" customWidth="1"/>
    <col min="10" max="10" width="32.1416666666667" customWidth="1"/>
    <col min="11" max="11" width="22.425" customWidth="1"/>
    <col min="12" max="12" width="19.7083333333333" customWidth="1"/>
    <col min="13" max="13" width="17.2833333333333" customWidth="1"/>
    <col min="14" max="14" width="16.5666666666667" customWidth="1"/>
    <col min="15" max="15" width="11.8583333333333" customWidth="1"/>
    <col min="16" max="16" width="12.1416666666667" customWidth="1"/>
    <col min="17" max="17" width="12.5666666666667" customWidth="1"/>
    <col min="18" max="18" width="12.425" customWidth="1"/>
    <col min="19" max="19" width="13.8583333333333" customWidth="1"/>
    <col min="20" max="20" width="11" customWidth="1"/>
    <col min="24" max="24" width="11.425" customWidth="1"/>
    <col min="28" max="28" width="9.70833333333333" customWidth="1"/>
    <col min="29" max="29" width="10.5666666666667" customWidth="1"/>
    <col min="31" max="33" width="8.70833333333333" customWidth="1"/>
    <col min="34" max="34" width="11.7083333333333" customWidth="1"/>
    <col min="35" max="36" width="12" customWidth="1"/>
    <col min="37" max="48" width="8.70833333333333" customWidth="1"/>
  </cols>
  <sheetData>
    <row r="1" ht="54" spans="1:41">
      <c r="A1" s="48" t="s">
        <v>0</v>
      </c>
      <c r="B1" s="49"/>
      <c r="C1" s="49"/>
      <c r="D1" s="49"/>
      <c r="E1" s="50"/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L1" s="82" t="s">
        <v>6</v>
      </c>
      <c r="M1" s="1"/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2" t="s">
        <v>13</v>
      </c>
      <c r="V1" s="2" t="s">
        <v>14</v>
      </c>
      <c r="W1" s="2" t="s">
        <v>15</v>
      </c>
      <c r="X1" s="2" t="s">
        <v>16</v>
      </c>
      <c r="Y1" s="2" t="s">
        <v>17</v>
      </c>
      <c r="Z1" s="2" t="s">
        <v>18</v>
      </c>
      <c r="AA1" s="2" t="s">
        <v>19</v>
      </c>
      <c r="AC1" s="2" t="s">
        <v>20</v>
      </c>
      <c r="AD1" s="2" t="s">
        <v>15</v>
      </c>
      <c r="AE1" s="2" t="s">
        <v>16</v>
      </c>
      <c r="AF1" s="2" t="s">
        <v>17</v>
      </c>
      <c r="AG1" s="2" t="s">
        <v>18</v>
      </c>
      <c r="AH1" s="2" t="s">
        <v>19</v>
      </c>
      <c r="AJ1" s="2" t="s">
        <v>21</v>
      </c>
      <c r="AK1" s="2" t="s">
        <v>15</v>
      </c>
      <c r="AL1" s="2" t="s">
        <v>16</v>
      </c>
      <c r="AM1" s="2" t="s">
        <v>17</v>
      </c>
      <c r="AN1" s="2" t="s">
        <v>18</v>
      </c>
      <c r="AO1" s="2" t="s">
        <v>19</v>
      </c>
    </row>
    <row r="2" spans="1:41">
      <c r="A2" s="51" t="s">
        <v>22</v>
      </c>
      <c r="B2" s="52" t="s">
        <v>23</v>
      </c>
      <c r="C2" s="53" t="str">
        <f>Start_P2</f>
        <v>E</v>
      </c>
      <c r="D2" s="53" t="str">
        <f>Start_P3</f>
        <v>D</v>
      </c>
      <c r="E2" s="54" t="str">
        <f>Start_P4</f>
        <v>B</v>
      </c>
      <c r="G2" s="55" t="s">
        <v>23</v>
      </c>
      <c r="H2" s="52" t="s">
        <v>24</v>
      </c>
      <c r="I2" s="52">
        <v>88</v>
      </c>
      <c r="J2" s="88">
        <v>0.17</v>
      </c>
      <c r="K2" s="89">
        <v>1.03</v>
      </c>
      <c r="L2" s="90">
        <v>380</v>
      </c>
      <c r="M2" s="53"/>
      <c r="N2" s="52">
        <v>650</v>
      </c>
      <c r="O2" s="52">
        <v>630</v>
      </c>
      <c r="P2" s="52">
        <f>O2</f>
        <v>630</v>
      </c>
      <c r="Q2" s="52">
        <f>P2</f>
        <v>630</v>
      </c>
      <c r="R2" s="52">
        <f>Q2</f>
        <v>630</v>
      </c>
      <c r="S2" s="52">
        <v>0.5</v>
      </c>
      <c r="T2" s="96">
        <f>AVERAGE(N2:O2)/J2</f>
        <v>3764.70588235294</v>
      </c>
      <c r="W2" s="83">
        <v>115</v>
      </c>
      <c r="X2" s="83">
        <v>30</v>
      </c>
      <c r="Y2" s="83">
        <v>1400</v>
      </c>
      <c r="Z2" s="83">
        <v>800</v>
      </c>
      <c r="AA2" s="83">
        <v>570</v>
      </c>
      <c r="AC2" t="e">
        <f ca="1">MATCH(Input_Output!G2,Calcs!$BT$2:$DK$2,0)</f>
        <v>#N/A</v>
      </c>
      <c r="AD2" s="97" t="e">
        <f ca="1">OFFSET(Calcs!$BS$1,0,Input_Output!AC2+2)</f>
        <v>#N/A</v>
      </c>
      <c r="AE2" s="97" t="e">
        <f ca="1">OFFSET(Calcs!$BS$1,0,Input_Output!AC2+4)</f>
        <v>#N/A</v>
      </c>
      <c r="AF2" s="97" t="e">
        <f ca="1">OFFSET(Calcs!$BS$1,0,Input_Output!$AC2+6)</f>
        <v>#N/A</v>
      </c>
      <c r="AG2" s="97" t="e">
        <f ca="1">OFFSET(Calcs!$BS$1,0,Input_Output!$AC2+8)</f>
        <v>#N/A</v>
      </c>
      <c r="AH2" s="97" t="e">
        <f ca="1">OFFSET(Calcs!$BS$1,0,Input_Output!$AC2+10)</f>
        <v>#N/A</v>
      </c>
      <c r="AK2" s="7" t="e">
        <f ca="1">AD2/W2</f>
        <v>#N/A</v>
      </c>
      <c r="AL2" s="7" t="e">
        <f ca="1">AE2/X2</f>
        <v>#N/A</v>
      </c>
      <c r="AM2" s="7" t="e">
        <f ca="1" t="shared" ref="AM2:AO2" si="0">AF2/Y2</f>
        <v>#N/A</v>
      </c>
      <c r="AN2" s="7" t="e">
        <f ca="1" t="shared" si="0"/>
        <v>#N/A</v>
      </c>
      <c r="AO2" s="7" t="e">
        <f ca="1" t="shared" si="0"/>
        <v>#N/A</v>
      </c>
    </row>
    <row r="3" spans="1:41">
      <c r="A3" s="51" t="s">
        <v>25</v>
      </c>
      <c r="B3" s="52" t="s">
        <v>26</v>
      </c>
      <c r="C3" s="53" t="str">
        <f>Start_P3</f>
        <v>D</v>
      </c>
      <c r="D3" s="53" t="str">
        <f>Start_P4</f>
        <v>B</v>
      </c>
      <c r="E3" s="54" t="str">
        <f>Start_P1</f>
        <v>A</v>
      </c>
      <c r="G3" s="56" t="s">
        <v>27</v>
      </c>
      <c r="H3" s="52" t="s">
        <v>28</v>
      </c>
      <c r="I3" s="52">
        <v>90</v>
      </c>
      <c r="J3" s="88">
        <v>0.18</v>
      </c>
      <c r="K3" s="89">
        <v>1.09</v>
      </c>
      <c r="L3" s="90">
        <v>410</v>
      </c>
      <c r="M3" s="53"/>
      <c r="N3" s="52">
        <v>670</v>
      </c>
      <c r="O3" s="52">
        <v>670</v>
      </c>
      <c r="P3" s="52">
        <v>650</v>
      </c>
      <c r="Q3" s="52">
        <f>P3</f>
        <v>650</v>
      </c>
      <c r="R3" s="52">
        <f>Q3</f>
        <v>650</v>
      </c>
      <c r="S3" s="52">
        <v>0.5</v>
      </c>
      <c r="T3" s="96">
        <f>AVERAGE(N3:O3)/J3</f>
        <v>3722.22222222222</v>
      </c>
      <c r="W3" s="83">
        <v>125</v>
      </c>
      <c r="X3" s="83">
        <v>38</v>
      </c>
      <c r="Y3" s="83">
        <v>1350</v>
      </c>
      <c r="Z3" s="83">
        <v>800</v>
      </c>
      <c r="AA3" s="83">
        <v>570</v>
      </c>
      <c r="AC3">
        <f ca="1">MATCH(Input_Output!G3,Calcs!$BT$2:$DK$2,0)</f>
        <v>34</v>
      </c>
      <c r="AD3" s="97" t="e">
        <f ca="1">OFFSET(Calcs!$BS$1,0,Input_Output!AC3+2)</f>
        <v>#DIV/0!</v>
      </c>
      <c r="AE3" s="97" t="e">
        <f ca="1">OFFSET(Calcs!$BS$1,0,Input_Output!AC3+4)</f>
        <v>#DIV/0!</v>
      </c>
      <c r="AF3" s="97">
        <f ca="1">OFFSET(Calcs!$BS$1,0,Input_Output!$AC3+6)</f>
        <v>0</v>
      </c>
      <c r="AG3" s="97">
        <f ca="1">OFFSET(Calcs!$BS$1,0,Input_Output!$AC3+8)</f>
        <v>0</v>
      </c>
      <c r="AH3" s="97">
        <f ca="1">OFFSET(Calcs!$BS$1,0,Input_Output!$AC3+10)</f>
        <v>0</v>
      </c>
      <c r="AK3" s="7" t="e">
        <f ca="1" t="shared" ref="AK3:AK6" si="1">AD3/W3</f>
        <v>#DIV/0!</v>
      </c>
      <c r="AL3" s="7" t="e">
        <f ca="1" t="shared" ref="AL3:AL6" si="2">AE3/X3</f>
        <v>#DIV/0!</v>
      </c>
      <c r="AM3" s="7">
        <f ca="1" t="shared" ref="AM3:AM6" si="3">AF3/Y3</f>
        <v>0</v>
      </c>
      <c r="AN3" s="7">
        <f ca="1" t="shared" ref="AN3:AN6" si="4">AG3/Z3</f>
        <v>0</v>
      </c>
      <c r="AO3" s="7">
        <f ca="1" t="shared" ref="AO3:AO6" si="5">AH3/AA3</f>
        <v>0</v>
      </c>
    </row>
    <row r="4" spans="1:41">
      <c r="A4" s="51" t="s">
        <v>29</v>
      </c>
      <c r="B4" s="52" t="s">
        <v>30</v>
      </c>
      <c r="C4" s="53" t="str">
        <f>Start_P4</f>
        <v>B</v>
      </c>
      <c r="D4" s="53" t="str">
        <f>Start_P1</f>
        <v>A</v>
      </c>
      <c r="E4" s="54" t="str">
        <f>Start_P2</f>
        <v>E</v>
      </c>
      <c r="G4" s="57" t="s">
        <v>31</v>
      </c>
      <c r="H4" s="52" t="s">
        <v>32</v>
      </c>
      <c r="I4" s="52">
        <v>86</v>
      </c>
      <c r="J4" s="88">
        <v>0.17</v>
      </c>
      <c r="K4" s="89">
        <v>1.03</v>
      </c>
      <c r="L4" s="90">
        <v>380</v>
      </c>
      <c r="M4" s="53"/>
      <c r="N4" s="52">
        <v>630</v>
      </c>
      <c r="O4" s="52">
        <v>630</v>
      </c>
      <c r="P4" s="52">
        <v>650</v>
      </c>
      <c r="Q4" s="52">
        <v>650</v>
      </c>
      <c r="R4" s="52">
        <f>Q4</f>
        <v>650</v>
      </c>
      <c r="S4" s="52">
        <v>0.5</v>
      </c>
      <c r="T4" s="96">
        <f>AVERAGE(N4:O4)/J4</f>
        <v>3705.88235294118</v>
      </c>
      <c r="W4" s="83">
        <v>110</v>
      </c>
      <c r="X4" s="83">
        <v>30</v>
      </c>
      <c r="Y4" s="83">
        <v>1300</v>
      </c>
      <c r="Z4" s="83">
        <v>800</v>
      </c>
      <c r="AA4" s="83">
        <v>570</v>
      </c>
      <c r="AC4" t="e">
        <f ca="1">MATCH(Input_Output!G4,Calcs!$BT$2:$DK$2,0)</f>
        <v>#N/A</v>
      </c>
      <c r="AD4" s="97" t="e">
        <f ca="1">OFFSET(Calcs!$BS$1,0,Input_Output!AC4+2)</f>
        <v>#N/A</v>
      </c>
      <c r="AE4" s="97" t="e">
        <f ca="1">OFFSET(Calcs!$BS$1,0,Input_Output!AC4+4)</f>
        <v>#N/A</v>
      </c>
      <c r="AF4" s="97" t="e">
        <f ca="1">OFFSET(Calcs!$BS$1,0,Input_Output!$AC4+6)</f>
        <v>#N/A</v>
      </c>
      <c r="AG4" s="97" t="e">
        <f ca="1">OFFSET(Calcs!$BS$1,0,Input_Output!$AC4+8)</f>
        <v>#N/A</v>
      </c>
      <c r="AH4" s="97" t="e">
        <f ca="1">OFFSET(Calcs!$BS$1,0,Input_Output!$AC4+10)</f>
        <v>#N/A</v>
      </c>
      <c r="AK4" s="7" t="e">
        <f ca="1" t="shared" si="1"/>
        <v>#N/A</v>
      </c>
      <c r="AL4" s="7" t="e">
        <f ca="1" t="shared" si="2"/>
        <v>#N/A</v>
      </c>
      <c r="AM4" s="7" t="e">
        <f ca="1" t="shared" si="3"/>
        <v>#N/A</v>
      </c>
      <c r="AN4" s="7" t="e">
        <f ca="1" t="shared" si="4"/>
        <v>#N/A</v>
      </c>
      <c r="AO4" s="7" t="e">
        <f ca="1" t="shared" si="5"/>
        <v>#N/A</v>
      </c>
    </row>
    <row r="5" spans="1:41">
      <c r="A5" s="58" t="s">
        <v>33</v>
      </c>
      <c r="B5" s="59" t="s">
        <v>27</v>
      </c>
      <c r="C5" s="60" t="str">
        <f>Start_P1</f>
        <v>A</v>
      </c>
      <c r="D5" s="60" t="str">
        <f>Start_P2</f>
        <v>E</v>
      </c>
      <c r="E5" s="61" t="str">
        <f>Start_P3</f>
        <v>D</v>
      </c>
      <c r="G5" s="62" t="s">
        <v>30</v>
      </c>
      <c r="H5" s="52" t="s">
        <v>34</v>
      </c>
      <c r="I5" s="52">
        <v>88</v>
      </c>
      <c r="J5" s="88">
        <v>0.18</v>
      </c>
      <c r="K5" s="89">
        <v>1</v>
      </c>
      <c r="L5" s="90">
        <v>400</v>
      </c>
      <c r="M5" s="53"/>
      <c r="N5" s="52">
        <v>650</v>
      </c>
      <c r="O5" s="52">
        <v>630</v>
      </c>
      <c r="P5" s="52">
        <f>O5</f>
        <v>630</v>
      </c>
      <c r="Q5" s="52">
        <f>P5</f>
        <v>630</v>
      </c>
      <c r="R5" s="52">
        <f>Q5</f>
        <v>630</v>
      </c>
      <c r="S5" s="52">
        <v>0.5</v>
      </c>
      <c r="T5" s="96">
        <f>AVERAGE(N5:O5)/J5</f>
        <v>3555.55555555556</v>
      </c>
      <c r="W5" s="83">
        <v>125</v>
      </c>
      <c r="X5" s="83">
        <v>38</v>
      </c>
      <c r="Y5" s="83">
        <v>1400</v>
      </c>
      <c r="Z5" s="83">
        <v>800</v>
      </c>
      <c r="AA5" s="83">
        <v>570</v>
      </c>
      <c r="AC5">
        <f ca="1">MATCH(Input_Output!G5,Calcs!$BT$2:$DK$2,0)</f>
        <v>23</v>
      </c>
      <c r="AD5" s="97" t="e">
        <f ca="1">OFFSET(Calcs!$BS$1,0,Input_Output!AC5+2)</f>
        <v>#DIV/0!</v>
      </c>
      <c r="AE5" s="97" t="e">
        <f ca="1">OFFSET(Calcs!$BS$1,0,Input_Output!AC5+4)</f>
        <v>#DIV/0!</v>
      </c>
      <c r="AF5" s="97">
        <f ca="1">OFFSET(Calcs!$BS$1,0,Input_Output!$AC5+6)</f>
        <v>0</v>
      </c>
      <c r="AG5" s="97">
        <f ca="1">OFFSET(Calcs!$BS$1,0,Input_Output!$AC5+8)</f>
        <v>0</v>
      </c>
      <c r="AH5" s="97">
        <f ca="1">OFFSET(Calcs!$BS$1,0,Input_Output!$AC5+10)</f>
        <v>0</v>
      </c>
      <c r="AK5" s="7" t="e">
        <f ca="1" t="shared" si="1"/>
        <v>#DIV/0!</v>
      </c>
      <c r="AL5" s="7" t="e">
        <f ca="1" t="shared" si="2"/>
        <v>#DIV/0!</v>
      </c>
      <c r="AM5" s="7">
        <f ca="1" t="shared" si="3"/>
        <v>0</v>
      </c>
      <c r="AN5" s="7">
        <f ca="1" t="shared" si="4"/>
        <v>0</v>
      </c>
      <c r="AO5" s="7">
        <f ca="1" t="shared" si="5"/>
        <v>0</v>
      </c>
    </row>
    <row r="6" spans="7:41">
      <c r="G6" s="63" t="s">
        <v>26</v>
      </c>
      <c r="H6" s="52" t="s">
        <v>35</v>
      </c>
      <c r="I6" s="52">
        <v>80</v>
      </c>
      <c r="J6" s="88">
        <v>0.167</v>
      </c>
      <c r="K6" s="89">
        <v>1.03</v>
      </c>
      <c r="L6" s="90">
        <v>390</v>
      </c>
      <c r="M6" s="53"/>
      <c r="N6" s="52">
        <v>630</v>
      </c>
      <c r="O6" s="52">
        <v>630</v>
      </c>
      <c r="P6" s="52">
        <f>O6</f>
        <v>630</v>
      </c>
      <c r="Q6" s="52">
        <f>P6</f>
        <v>630</v>
      </c>
      <c r="R6" s="52">
        <f>Q6</f>
        <v>630</v>
      </c>
      <c r="S6" s="52">
        <v>0.5</v>
      </c>
      <c r="T6" s="96">
        <f>AVERAGE(N6:O6)/J6</f>
        <v>3772.45508982036</v>
      </c>
      <c r="W6" s="83">
        <v>110</v>
      </c>
      <c r="X6" s="83">
        <v>30</v>
      </c>
      <c r="Y6" s="83">
        <v>1150</v>
      </c>
      <c r="Z6" s="83">
        <v>800</v>
      </c>
      <c r="AA6" s="83">
        <v>570</v>
      </c>
      <c r="AC6">
        <f ca="1">MATCH(Input_Output!G6,Calcs!$BT$2:$DK$2,0)</f>
        <v>12</v>
      </c>
      <c r="AD6" s="97" t="e">
        <f ca="1">OFFSET(Calcs!$BS$1,0,Input_Output!AC6+2)</f>
        <v>#DIV/0!</v>
      </c>
      <c r="AE6" s="97" t="e">
        <f ca="1">OFFSET(Calcs!$BS$1,0,Input_Output!AC6+4)</f>
        <v>#DIV/0!</v>
      </c>
      <c r="AF6" s="97">
        <f ca="1">OFFSET(Calcs!$BS$1,0,Input_Output!$AC6+6)</f>
        <v>0</v>
      </c>
      <c r="AG6" s="97">
        <f ca="1">OFFSET(Calcs!$BS$1,0,Input_Output!$AC6+8)</f>
        <v>0</v>
      </c>
      <c r="AH6" s="97">
        <f ca="1">OFFSET(Calcs!$BS$1,0,Input_Output!$AC6+10)</f>
        <v>0</v>
      </c>
      <c r="AK6" s="7" t="e">
        <f ca="1" t="shared" si="1"/>
        <v>#DIV/0!</v>
      </c>
      <c r="AL6" s="7" t="e">
        <f ca="1" t="shared" si="2"/>
        <v>#DIV/0!</v>
      </c>
      <c r="AM6" s="7">
        <f ca="1" t="shared" si="3"/>
        <v>0</v>
      </c>
      <c r="AN6" s="7">
        <f ca="1" t="shared" si="4"/>
        <v>0</v>
      </c>
      <c r="AO6" s="7">
        <f ca="1" t="shared" si="5"/>
        <v>0</v>
      </c>
    </row>
    <row r="7" ht="46.5" customHeight="1" spans="1:4">
      <c r="A7" t="s">
        <v>36</v>
      </c>
      <c r="B7" s="52">
        <v>0.025</v>
      </c>
      <c r="C7" t="s">
        <v>37</v>
      </c>
      <c r="D7"/>
    </row>
    <row r="8" ht="31.5" spans="1:13">
      <c r="A8" t="s">
        <v>38</v>
      </c>
      <c r="B8" s="52">
        <v>0.1</v>
      </c>
      <c r="C8" t="s">
        <v>39</v>
      </c>
      <c r="D8"/>
      <c r="F8" s="64" t="s">
        <v>40</v>
      </c>
      <c r="G8" s="65"/>
      <c r="H8" s="66"/>
      <c r="K8" s="91" t="s">
        <v>41</v>
      </c>
      <c r="L8" s="92" t="e">
        <f ca="1">M42/86400</f>
        <v>#REF!</v>
      </c>
      <c r="M8" s="93" t="s">
        <v>42</v>
      </c>
    </row>
    <row r="9" spans="1:8">
      <c r="A9" t="s">
        <v>43</v>
      </c>
      <c r="B9" s="52">
        <v>125</v>
      </c>
      <c r="C9" t="s">
        <v>44</v>
      </c>
      <c r="D9"/>
      <c r="F9" s="67" t="s">
        <v>45</v>
      </c>
      <c r="G9" s="68">
        <v>0</v>
      </c>
      <c r="H9" s="69" t="s">
        <v>46</v>
      </c>
    </row>
    <row r="10" ht="54" spans="1:54">
      <c r="A10" t="s">
        <v>47</v>
      </c>
      <c r="B10" s="52">
        <v>1.17</v>
      </c>
      <c r="C10" t="s">
        <v>48</v>
      </c>
      <c r="D10"/>
      <c r="F10" s="67" t="s">
        <v>49</v>
      </c>
      <c r="G10" s="70">
        <v>0</v>
      </c>
      <c r="H10" s="69" t="s">
        <v>50</v>
      </c>
      <c r="K10" s="82" t="s">
        <v>51</v>
      </c>
      <c r="L10" s="82" t="s">
        <v>52</v>
      </c>
      <c r="M10" s="94" t="s">
        <v>53</v>
      </c>
      <c r="N10" s="94" t="s">
        <v>54</v>
      </c>
      <c r="O10" s="94" t="s">
        <v>55</v>
      </c>
      <c r="P10" s="94" t="s">
        <v>56</v>
      </c>
      <c r="Q10" s="94" t="s">
        <v>57</v>
      </c>
      <c r="Y10" s="1" t="s">
        <v>23</v>
      </c>
      <c r="Z10" s="1" t="s">
        <v>27</v>
      </c>
      <c r="AA10" s="1" t="s">
        <v>31</v>
      </c>
      <c r="AB10" s="1" t="s">
        <v>30</v>
      </c>
      <c r="AC10" s="1" t="s">
        <v>26</v>
      </c>
      <c r="AE10" s="94" t="s">
        <v>58</v>
      </c>
      <c r="AF10" s="94"/>
      <c r="AH10" s="82" t="s">
        <v>51</v>
      </c>
      <c r="AI10" s="82" t="s">
        <v>59</v>
      </c>
      <c r="AJ10" s="94" t="s">
        <v>60</v>
      </c>
      <c r="AK10" s="1" t="s">
        <v>61</v>
      </c>
      <c r="AL10" s="82"/>
      <c r="AM10" s="82"/>
      <c r="AN10" s="82" t="s">
        <v>62</v>
      </c>
      <c r="AO10" s="82" t="s">
        <v>63</v>
      </c>
      <c r="AP10" s="82" t="s">
        <v>64</v>
      </c>
      <c r="AQ10" s="82" t="s">
        <v>65</v>
      </c>
      <c r="AR10" s="82" t="s">
        <v>66</v>
      </c>
      <c r="AS10" s="82" t="s">
        <v>67</v>
      </c>
      <c r="AT10" s="82" t="s">
        <v>68</v>
      </c>
      <c r="AU10" s="81"/>
      <c r="AV10" s="82" t="s">
        <v>69</v>
      </c>
      <c r="AW10" s="1"/>
      <c r="AX10" s="1"/>
      <c r="AY10" s="2" t="s">
        <v>70</v>
      </c>
      <c r="AZ10" s="2" t="s">
        <v>71</v>
      </c>
      <c r="BA10" s="2" t="s">
        <v>72</v>
      </c>
      <c r="BB10" s="2" t="s">
        <v>73</v>
      </c>
    </row>
    <row r="11" ht="29.1" customHeight="1" spans="1:54">
      <c r="A11" t="s">
        <v>74</v>
      </c>
      <c r="B11" s="52">
        <v>1.75</v>
      </c>
      <c r="C11" t="s">
        <v>75</v>
      </c>
      <c r="D11"/>
      <c r="F11" s="67" t="s">
        <v>76</v>
      </c>
      <c r="G11" s="71">
        <v>0</v>
      </c>
      <c r="H11" s="69"/>
      <c r="K11" s="4">
        <v>1</v>
      </c>
      <c r="L11" s="4">
        <f>hl_length</f>
        <v>125</v>
      </c>
      <c r="M11" s="21" t="e">
        <f ca="1">VLOOKUP(K11,Calcs!$Q$3:$T$30,4)+reactionTime</f>
        <v>#DIV/0!</v>
      </c>
      <c r="N11" s="21" t="e">
        <f ca="1">M11</f>
        <v>#DIV/0!</v>
      </c>
      <c r="O11" s="6" t="e">
        <f ca="1">AVERAGE(Calcs!K3:OFFSET(Calcs!$K$3,Input_Output!AF11-1,0))</f>
        <v>#DIV/0!</v>
      </c>
      <c r="P11" t="str">
        <f ca="1">VLOOKUP(AJ11,$G$2:$H$6,2)</f>
        <v>rider1</v>
      </c>
      <c r="Q11" s="6" t="e">
        <f ca="1">N11</f>
        <v>#DIV/0!</v>
      </c>
      <c r="Y11" s="8" t="e">
        <f ca="1">IF($AJ11=$Y$10,$Q11,0)</f>
        <v>#DIV/0!</v>
      </c>
      <c r="Z11" s="8">
        <f ca="1">IF($AJ11=$Z$10,$Q11,0)</f>
        <v>0</v>
      </c>
      <c r="AA11" s="8">
        <f ca="1">IF($AJ11=$AA$10,$Q11,0)</f>
        <v>0</v>
      </c>
      <c r="AB11" s="8">
        <f ca="1">IF($AJ11=$AB$10,$Q11,0)</f>
        <v>0</v>
      </c>
      <c r="AC11" s="8">
        <f ca="1">IF($AJ11=$AC$10,$Q11,0)</f>
        <v>0</v>
      </c>
      <c r="AF11">
        <f ca="1">MATCH(K11,Calcs!$S$3:$S$30,0)</f>
        <v>10</v>
      </c>
      <c r="AH11" s="4">
        <v>1</v>
      </c>
      <c r="AI11" s="4">
        <f>hl_length/track_dist_mult</f>
        <v>125.62969548941</v>
      </c>
      <c r="AJ11" t="str">
        <f ca="1">OFFSET(Calcs!$D$3,Input_Output!AF11,0)</f>
        <v>A</v>
      </c>
      <c r="AK11">
        <f ca="1">OFFSET(Calcs!$AZ$3,Input_Output!AF11,0)</f>
        <v>14.0834833919919</v>
      </c>
      <c r="AL11" s="4" t="str">
        <f>$A$30</f>
        <v>A</v>
      </c>
      <c r="AM11" s="4">
        <v>1</v>
      </c>
      <c r="AN11" s="4" t="str">
        <f t="shared" ref="AN11:AN30" si="6">CONCATENATE(AL11,AM11)</f>
        <v>A1</v>
      </c>
      <c r="AO11" s="4">
        <f>VLOOKUP(AL11,$A$45:$G$48,7,FALSE)</f>
        <v>1</v>
      </c>
      <c r="AP11" s="4">
        <f>AM11</f>
        <v>1</v>
      </c>
      <c r="AQ11" s="98">
        <v>0</v>
      </c>
      <c r="AR11">
        <f ca="1" t="shared" ref="AR11:AR30" si="7">OFFSET($A$44,AO11,AP11)</f>
        <v>565.333629702347</v>
      </c>
      <c r="AS11" t="str">
        <f>AN12</f>
        <v>E1</v>
      </c>
      <c r="AT11" s="8">
        <f ca="1">AR11-AQ11</f>
        <v>565.333629702347</v>
      </c>
      <c r="AV11">
        <v>0</v>
      </c>
      <c r="AX11" t="e">
        <f ca="1">MATCH(AN11,Calcs!$BA$3:$BA$30,0)</f>
        <v>#N/A</v>
      </c>
      <c r="AY11" t="e">
        <f ca="1">OFFSET(Calcs!$AZ$2,Input_Output!AX11,0)</f>
        <v>#N/A</v>
      </c>
      <c r="AZ11" t="e">
        <f ca="1">OFFSET(Calcs!$BI$2,Input_Output!AX11,0)</f>
        <v>#N/A</v>
      </c>
      <c r="BA11" t="e">
        <f ca="1">OFFSET(Calcs!$BN$2,Input_Output!AX11,0)</f>
        <v>#N/A</v>
      </c>
      <c r="BB11" t="e">
        <f ca="1">OFFSET(Calcs!$BS$2,Input_Output!AX11,0)</f>
        <v>#N/A</v>
      </c>
    </row>
    <row r="12" spans="1:54">
      <c r="A12" t="s">
        <v>77</v>
      </c>
      <c r="B12" s="52">
        <v>0.25</v>
      </c>
      <c r="C12" t="s">
        <v>75</v>
      </c>
      <c r="D12"/>
      <c r="F12" s="67" t="s">
        <v>78</v>
      </c>
      <c r="G12" s="72">
        <v>0</v>
      </c>
      <c r="H12" s="69" t="s">
        <v>79</v>
      </c>
      <c r="K12" s="4">
        <v>2</v>
      </c>
      <c r="L12" s="4">
        <f t="shared" ref="L12:L42" si="8">L11+hl_length</f>
        <v>250</v>
      </c>
      <c r="M12" s="21" t="e">
        <f ca="1">VLOOKUP(K12,Calcs!$Q$3:$T$30,4)</f>
        <v>#DIV/0!</v>
      </c>
      <c r="N12" s="21" t="e">
        <f ca="1">M12-M11</f>
        <v>#DIV/0!</v>
      </c>
      <c r="O12" s="6" t="e">
        <f ca="1">AVERAGE(OFFSET(Calcs!$K$3,AE12,0):OFFSET(Calcs!$K$3,Input_Output!AF12-1,0))</f>
        <v>#DIV/0!</v>
      </c>
      <c r="P12" t="e">
        <f ca="1" t="shared" ref="P12:P42" si="9">VLOOKUP(AJ12,$G$2:$H$6,2)</f>
        <v>#DIV/0!</v>
      </c>
      <c r="Q12" s="6" t="e">
        <f ca="1" t="shared" ref="Q12:Q42" si="10">IF(NOT(P12=P11),N12-((Bike_length+Spacing)/O12),N12)</f>
        <v>#DIV/0!</v>
      </c>
      <c r="Y12" s="8" t="e">
        <f ca="1" t="shared" ref="Y12:Y42" si="11">IF($AJ12=$Y$10,$Q12,0)</f>
        <v>#DIV/0!</v>
      </c>
      <c r="Z12" s="8" t="e">
        <f ca="1" t="shared" ref="Z12:Z42" si="12">IF($AJ12=$Z$10,$Q12,0)</f>
        <v>#DIV/0!</v>
      </c>
      <c r="AA12" s="8" t="e">
        <f ca="1" t="shared" ref="AA12:AA42" si="13">IF($AJ12=$AA$10,$Q12,0)</f>
        <v>#DIV/0!</v>
      </c>
      <c r="AB12" s="8" t="e">
        <f ca="1" t="shared" ref="AB12:AB42" si="14">IF($AJ12=$AB$10,$Q12,0)</f>
        <v>#DIV/0!</v>
      </c>
      <c r="AC12" s="8" t="e">
        <f ca="1" t="shared" ref="AC12:AC42" si="15">IF($AJ12=$AC$10,$Q12,0)</f>
        <v>#DIV/0!</v>
      </c>
      <c r="AE12">
        <f ca="1">AF11+1</f>
        <v>11</v>
      </c>
      <c r="AF12">
        <f ca="1">MATCH(K12,Calcs!$S$3:$S$30,0)</f>
        <v>11</v>
      </c>
      <c r="AH12" s="4">
        <v>2</v>
      </c>
      <c r="AI12" s="4">
        <f t="shared" ref="AI12:AI43" si="16">AI11+hl_length/track_dist_mult</f>
        <v>251.259390978821</v>
      </c>
      <c r="AJ12" t="e">
        <f ca="1">OFFSET(Calcs!$D$3,Input_Output!AF12,0)</f>
        <v>#DIV/0!</v>
      </c>
      <c r="AK12" t="e">
        <f ca="1">OFFSET(Calcs!$AZ$3,Input_Output!AF12,0)</f>
        <v>#DIV/0!</v>
      </c>
      <c r="AL12" s="4" t="str">
        <f>$A$31</f>
        <v>E</v>
      </c>
      <c r="AM12" s="4">
        <v>1</v>
      </c>
      <c r="AN12" s="4" t="str">
        <f t="shared" si="6"/>
        <v>E1</v>
      </c>
      <c r="AO12" s="4">
        <f t="shared" ref="AO12:AO30" si="17">VLOOKUP(AL12,$A$45:$G$48,7,FALSE)</f>
        <v>2</v>
      </c>
      <c r="AP12" s="4">
        <f t="shared" ref="AP12:AP21" si="18">AM12</f>
        <v>1</v>
      </c>
      <c r="AQ12" s="98">
        <f ca="1" t="shared" ref="AQ12:AQ30" si="19">AR11+0.001</f>
        <v>565.334629702347</v>
      </c>
      <c r="AR12">
        <f ca="1" t="shared" si="7"/>
        <v>1067.85241165999</v>
      </c>
      <c r="AS12" t="str">
        <f t="shared" ref="AS12:AS29" si="20">AN13</f>
        <v>D1</v>
      </c>
      <c r="AT12" s="8">
        <f ca="1" t="shared" ref="AT12:AT30" si="21">AR12-AQ12</f>
        <v>502.517781957643</v>
      </c>
      <c r="AV12">
        <f ca="1">AR11</f>
        <v>565.333629702347</v>
      </c>
      <c r="AX12" t="e">
        <f ca="1">MATCH(AN12,Calcs!$BA$3:$BA$30,0)</f>
        <v>#N/A</v>
      </c>
      <c r="AY12" t="e">
        <f ca="1">OFFSET(Calcs!$AZ$2,Input_Output!AX12,0)</f>
        <v>#N/A</v>
      </c>
      <c r="AZ12" t="e">
        <f ca="1">OFFSET(Calcs!$BI$2,Input_Output!AX12,0)</f>
        <v>#N/A</v>
      </c>
      <c r="BA12" t="e">
        <f ca="1">OFFSET(Calcs!$BN$2,Input_Output!AX12,0)</f>
        <v>#N/A</v>
      </c>
      <c r="BB12" t="e">
        <f ca="1">OFFSET(Calcs!$BS$2,Input_Output!AX12,0)</f>
        <v>#N/A</v>
      </c>
    </row>
    <row r="13" ht="14.25" spans="1:54">
      <c r="A13" t="s">
        <v>80</v>
      </c>
      <c r="B13" s="73">
        <v>0.6</v>
      </c>
      <c r="C13" t="s">
        <v>81</v>
      </c>
      <c r="D13"/>
      <c r="F13" s="74" t="s">
        <v>82</v>
      </c>
      <c r="G13" s="75">
        <v>0</v>
      </c>
      <c r="H13" s="76" t="s">
        <v>79</v>
      </c>
      <c r="K13" s="4">
        <v>3</v>
      </c>
      <c r="L13" s="4">
        <f>L12+hl_length</f>
        <v>375</v>
      </c>
      <c r="M13" s="21" t="e">
        <f ca="1">VLOOKUP(K13,Calcs!$Q$3:$T$30,4)</f>
        <v>#DIV/0!</v>
      </c>
      <c r="N13" s="21" t="e">
        <f ca="1">M13-M12</f>
        <v>#DIV/0!</v>
      </c>
      <c r="O13" s="6" t="e">
        <f ca="1">AVERAGE(OFFSET(Calcs!$K$3,AE13,0):OFFSET(Calcs!$K$3,Input_Output!AF13-1,0))</f>
        <v>#DIV/0!</v>
      </c>
      <c r="P13" t="e">
        <f ca="1" t="shared" si="9"/>
        <v>#DIV/0!</v>
      </c>
      <c r="Q13" s="6" t="e">
        <f ca="1" t="shared" si="10"/>
        <v>#DIV/0!</v>
      </c>
      <c r="Y13" s="8" t="e">
        <f ca="1" t="shared" si="11"/>
        <v>#DIV/0!</v>
      </c>
      <c r="Z13" s="8" t="e">
        <f ca="1" t="shared" si="12"/>
        <v>#DIV/0!</v>
      </c>
      <c r="AA13" s="8" t="e">
        <f ca="1" t="shared" si="13"/>
        <v>#DIV/0!</v>
      </c>
      <c r="AB13" s="8" t="e">
        <f ca="1" t="shared" si="14"/>
        <v>#DIV/0!</v>
      </c>
      <c r="AC13" s="8" t="e">
        <f ca="1" t="shared" si="15"/>
        <v>#DIV/0!</v>
      </c>
      <c r="AE13">
        <f ca="1" t="shared" ref="AE13:AE42" si="22">AF12+1</f>
        <v>12</v>
      </c>
      <c r="AF13">
        <f ca="1">MATCH(K13,Calcs!$S$3:$S$30,0)</f>
        <v>12</v>
      </c>
      <c r="AH13" s="4">
        <v>3</v>
      </c>
      <c r="AI13" s="4">
        <f t="shared" si="16"/>
        <v>376.889086468231</v>
      </c>
      <c r="AJ13" t="e">
        <f ca="1">OFFSET(Calcs!$D$3,Input_Output!AF13,0)</f>
        <v>#DIV/0!</v>
      </c>
      <c r="AK13" t="e">
        <f ca="1">OFFSET(Calcs!$AZ$3,Input_Output!AF13,0)</f>
        <v>#DIV/0!</v>
      </c>
      <c r="AL13" s="4" t="str">
        <f>$A$32</f>
        <v>D</v>
      </c>
      <c r="AM13" s="4">
        <v>1</v>
      </c>
      <c r="AN13" s="4" t="str">
        <f t="shared" si="6"/>
        <v>D1</v>
      </c>
      <c r="AO13" s="4">
        <f t="shared" si="17"/>
        <v>3</v>
      </c>
      <c r="AP13" s="4">
        <f t="shared" si="18"/>
        <v>1</v>
      </c>
      <c r="AQ13" s="98">
        <f ca="1" t="shared" si="19"/>
        <v>1067.85341165999</v>
      </c>
      <c r="AR13">
        <f ca="1" t="shared" si="7"/>
        <v>1570.37119361763</v>
      </c>
      <c r="AS13" t="str">
        <f t="shared" si="20"/>
        <v>B1</v>
      </c>
      <c r="AT13" s="8">
        <f ca="1" t="shared" si="21"/>
        <v>502.51778195764</v>
      </c>
      <c r="AV13">
        <f ca="1" t="shared" ref="AV13:AV30" si="23">AR12</f>
        <v>1067.85241165999</v>
      </c>
      <c r="AX13" t="e">
        <f ca="1">MATCH(AN13,Calcs!$BA$3:$BA$30,0)</f>
        <v>#N/A</v>
      </c>
      <c r="AY13" t="e">
        <f ca="1">OFFSET(Calcs!$AZ$2,Input_Output!AX13,0)</f>
        <v>#N/A</v>
      </c>
      <c r="AZ13" t="e">
        <f ca="1">OFFSET(Calcs!$BI$2,Input_Output!AX13,0)</f>
        <v>#N/A</v>
      </c>
      <c r="BA13" t="e">
        <f ca="1">OFFSET(Calcs!$BN$2,Input_Output!AX13,0)</f>
        <v>#N/A</v>
      </c>
      <c r="BB13" t="e">
        <f ca="1">OFFSET(Calcs!$BS$2,Input_Output!AX13,0)</f>
        <v>#N/A</v>
      </c>
    </row>
    <row r="14" spans="1:54">
      <c r="A14" t="s">
        <v>83</v>
      </c>
      <c r="B14" s="52">
        <v>0.0016</v>
      </c>
      <c r="C14"/>
      <c r="D14"/>
      <c r="K14" s="4">
        <v>4</v>
      </c>
      <c r="L14" s="4">
        <f t="shared" si="8"/>
        <v>500</v>
      </c>
      <c r="M14" s="21" t="e">
        <f ca="1">VLOOKUP(K14,Calcs!$Q$3:$T$30,4)</f>
        <v>#DIV/0!</v>
      </c>
      <c r="N14" s="21" t="e">
        <f ca="1" t="shared" ref="N14:N42" si="24">M14-M13</f>
        <v>#DIV/0!</v>
      </c>
      <c r="O14" s="6" t="e">
        <f ca="1">AVERAGE(OFFSET(Calcs!$K$3,AE14,0):OFFSET(Calcs!$K$3,Input_Output!AF14-1,0))</f>
        <v>#DIV/0!</v>
      </c>
      <c r="P14" t="e">
        <f ca="1" t="shared" si="9"/>
        <v>#DIV/0!</v>
      </c>
      <c r="Q14" s="6" t="e">
        <f ca="1" t="shared" si="10"/>
        <v>#DIV/0!</v>
      </c>
      <c r="Y14" s="8" t="e">
        <f ca="1" t="shared" si="11"/>
        <v>#DIV/0!</v>
      </c>
      <c r="Z14" s="8" t="e">
        <f ca="1" t="shared" si="12"/>
        <v>#DIV/0!</v>
      </c>
      <c r="AA14" s="8" t="e">
        <f ca="1" t="shared" si="13"/>
        <v>#DIV/0!</v>
      </c>
      <c r="AB14" s="8" t="e">
        <f ca="1" t="shared" si="14"/>
        <v>#DIV/0!</v>
      </c>
      <c r="AC14" s="8" t="e">
        <f ca="1" t="shared" si="15"/>
        <v>#DIV/0!</v>
      </c>
      <c r="AE14">
        <f ca="1" t="shared" si="22"/>
        <v>13</v>
      </c>
      <c r="AF14">
        <f ca="1">MATCH(K14,Calcs!$S$3:$S$30,0)</f>
        <v>13</v>
      </c>
      <c r="AH14" s="4">
        <v>4</v>
      </c>
      <c r="AI14" s="4">
        <f t="shared" si="16"/>
        <v>502.518781957642</v>
      </c>
      <c r="AJ14" t="e">
        <f ca="1">OFFSET(Calcs!$D$3,Input_Output!AF14,0)</f>
        <v>#DIV/0!</v>
      </c>
      <c r="AK14" t="e">
        <f ca="1">OFFSET(Calcs!$AZ$3,Input_Output!AF14,0)</f>
        <v>#DIV/0!</v>
      </c>
      <c r="AL14" s="4" t="str">
        <f>$A$33</f>
        <v>B</v>
      </c>
      <c r="AM14" s="4">
        <v>1</v>
      </c>
      <c r="AN14" s="4" t="str">
        <f t="shared" si="6"/>
        <v>B1</v>
      </c>
      <c r="AO14" s="4">
        <f t="shared" si="17"/>
        <v>4</v>
      </c>
      <c r="AP14" s="4">
        <f t="shared" si="18"/>
        <v>1</v>
      </c>
      <c r="AQ14" s="98">
        <f ca="1" t="shared" si="19"/>
        <v>1570.37219361763</v>
      </c>
      <c r="AR14">
        <f ca="1" t="shared" si="7"/>
        <v>2072.88997557527</v>
      </c>
      <c r="AS14" t="str">
        <f t="shared" si="20"/>
        <v>A2</v>
      </c>
      <c r="AT14" s="8">
        <f ca="1" t="shared" si="21"/>
        <v>502.51778195764</v>
      </c>
      <c r="AV14">
        <f ca="1" t="shared" si="23"/>
        <v>1570.37119361763</v>
      </c>
      <c r="AX14" t="e">
        <f ca="1">MATCH(AN14,Calcs!$BA$3:$BA$30,0)</f>
        <v>#N/A</v>
      </c>
      <c r="AY14" t="e">
        <f ca="1">OFFSET(Calcs!$AZ$2,Input_Output!AX14,0)</f>
        <v>#N/A</v>
      </c>
      <c r="AZ14" t="e">
        <f ca="1">OFFSET(Calcs!$BI$2,Input_Output!AX14,0)</f>
        <v>#N/A</v>
      </c>
      <c r="BA14" t="e">
        <f ca="1">OFFSET(Calcs!$BN$2,Input_Output!AX14,0)</f>
        <v>#N/A</v>
      </c>
      <c r="BB14" t="e">
        <f ca="1">OFFSET(Calcs!$BS$2,Input_Output!AX14,0)</f>
        <v>#N/A</v>
      </c>
    </row>
    <row r="15" spans="1:54">
      <c r="A15" t="s">
        <v>84</v>
      </c>
      <c r="B15" s="52">
        <v>0.0016</v>
      </c>
      <c r="C15"/>
      <c r="D15"/>
      <c r="F15" t="s">
        <v>85</v>
      </c>
      <c r="G15" s="77">
        <f ca="1">Calcs!BF1</f>
        <v>147.252563906103</v>
      </c>
      <c r="K15" s="4">
        <v>5</v>
      </c>
      <c r="L15" s="4">
        <f t="shared" si="8"/>
        <v>625</v>
      </c>
      <c r="M15" s="21" t="e">
        <f ca="1">VLOOKUP(K15,Calcs!$Q$3:$T$30,4)</f>
        <v>#DIV/0!</v>
      </c>
      <c r="N15" s="21" t="e">
        <f ca="1" t="shared" si="24"/>
        <v>#DIV/0!</v>
      </c>
      <c r="O15" s="6" t="e">
        <f ca="1">AVERAGE(OFFSET(Calcs!$K$3,AE15,0):OFFSET(Calcs!$K$3,Input_Output!AF15-1,0))</f>
        <v>#DIV/0!</v>
      </c>
      <c r="P15" t="e">
        <f ca="1" t="shared" si="9"/>
        <v>#DIV/0!</v>
      </c>
      <c r="Q15" s="6" t="e">
        <f ca="1" t="shared" si="10"/>
        <v>#DIV/0!</v>
      </c>
      <c r="Y15" s="8" t="e">
        <f ca="1" t="shared" si="11"/>
        <v>#DIV/0!</v>
      </c>
      <c r="Z15" s="8" t="e">
        <f ca="1" t="shared" si="12"/>
        <v>#DIV/0!</v>
      </c>
      <c r="AA15" s="8" t="e">
        <f ca="1" t="shared" si="13"/>
        <v>#DIV/0!</v>
      </c>
      <c r="AB15" s="8" t="e">
        <f ca="1" t="shared" si="14"/>
        <v>#DIV/0!</v>
      </c>
      <c r="AC15" s="8" t="e">
        <f ca="1" t="shared" si="15"/>
        <v>#DIV/0!</v>
      </c>
      <c r="AE15">
        <f ca="1" t="shared" si="22"/>
        <v>14</v>
      </c>
      <c r="AF15">
        <f ca="1">MATCH(K15,Calcs!$S$3:$S$30,0)</f>
        <v>14</v>
      </c>
      <c r="AH15" s="4">
        <v>5</v>
      </c>
      <c r="AI15" s="4">
        <f t="shared" si="16"/>
        <v>628.148477447052</v>
      </c>
      <c r="AJ15" t="e">
        <f ca="1">OFFSET(Calcs!$D$3,Input_Output!AF15,0)</f>
        <v>#DIV/0!</v>
      </c>
      <c r="AK15" t="e">
        <f ca="1">OFFSET(Calcs!$AZ$3,Input_Output!AF15,0)</f>
        <v>#DIV/0!</v>
      </c>
      <c r="AL15" s="4" t="str">
        <f>$A$30</f>
        <v>A</v>
      </c>
      <c r="AM15" s="4">
        <v>2</v>
      </c>
      <c r="AN15" s="4" t="str">
        <f t="shared" si="6"/>
        <v>A2</v>
      </c>
      <c r="AO15" s="4">
        <f t="shared" si="17"/>
        <v>1</v>
      </c>
      <c r="AP15" s="4">
        <f t="shared" si="18"/>
        <v>2</v>
      </c>
      <c r="AQ15" s="98">
        <f ca="1" t="shared" si="19"/>
        <v>2072.89097557527</v>
      </c>
      <c r="AR15">
        <f ca="1" t="shared" si="7"/>
        <v>2324.14936655409</v>
      </c>
      <c r="AS15" t="str">
        <f t="shared" si="20"/>
        <v>E2</v>
      </c>
      <c r="AT15" s="8">
        <f ca="1" t="shared" si="21"/>
        <v>251.25839097882</v>
      </c>
      <c r="AV15">
        <f ca="1" t="shared" si="23"/>
        <v>2072.88997557527</v>
      </c>
      <c r="AX15" t="e">
        <f ca="1">MATCH(AN15,Calcs!$BA$3:$BA$30,0)</f>
        <v>#N/A</v>
      </c>
      <c r="AY15" t="e">
        <f ca="1">OFFSET(Calcs!$AZ$2,Input_Output!AX15,0)</f>
        <v>#N/A</v>
      </c>
      <c r="AZ15" t="e">
        <f ca="1">OFFSET(Calcs!$BI$2,Input_Output!AX15,0)</f>
        <v>#N/A</v>
      </c>
      <c r="BA15" t="e">
        <f ca="1">OFFSET(Calcs!$BN$2,Input_Output!AX15,0)</f>
        <v>#N/A</v>
      </c>
      <c r="BB15" t="e">
        <f ca="1">OFFSET(Calcs!$BS$2,Input_Output!AX15,0)</f>
        <v>#N/A</v>
      </c>
    </row>
    <row r="16" spans="1:54">
      <c r="A16" t="s">
        <v>86</v>
      </c>
      <c r="B16" s="52">
        <v>0.0072</v>
      </c>
      <c r="C16" t="s">
        <v>87</v>
      </c>
      <c r="D16"/>
      <c r="K16" s="4">
        <v>6</v>
      </c>
      <c r="L16" s="4">
        <f t="shared" si="8"/>
        <v>750</v>
      </c>
      <c r="M16" s="21" t="e">
        <f ca="1">VLOOKUP(K16,Calcs!$Q$3:$T$30,4)</f>
        <v>#DIV/0!</v>
      </c>
      <c r="N16" s="21" t="e">
        <f ca="1" t="shared" si="24"/>
        <v>#DIV/0!</v>
      </c>
      <c r="O16" s="6" t="e">
        <f ca="1">AVERAGE(OFFSET(Calcs!$K$3,AE16,0):OFFSET(Calcs!$K$3,Input_Output!AF16-1,0))</f>
        <v>#DIV/0!</v>
      </c>
      <c r="P16" t="e">
        <f ca="1" t="shared" si="9"/>
        <v>#DIV/0!</v>
      </c>
      <c r="Q16" s="6" t="e">
        <f ca="1" t="shared" si="10"/>
        <v>#DIV/0!</v>
      </c>
      <c r="Y16" s="8" t="e">
        <f ca="1" t="shared" si="11"/>
        <v>#DIV/0!</v>
      </c>
      <c r="Z16" s="8" t="e">
        <f ca="1" t="shared" si="12"/>
        <v>#DIV/0!</v>
      </c>
      <c r="AA16" s="8" t="e">
        <f ca="1" t="shared" si="13"/>
        <v>#DIV/0!</v>
      </c>
      <c r="AB16" s="8" t="e">
        <f ca="1" t="shared" si="14"/>
        <v>#DIV/0!</v>
      </c>
      <c r="AC16" s="8" t="e">
        <f ca="1" t="shared" si="15"/>
        <v>#DIV/0!</v>
      </c>
      <c r="AE16">
        <f ca="1" t="shared" si="22"/>
        <v>15</v>
      </c>
      <c r="AF16">
        <f ca="1">MATCH(K16,Calcs!$S$3:$S$30,0)</f>
        <v>15</v>
      </c>
      <c r="AH16" s="4">
        <v>6</v>
      </c>
      <c r="AI16" s="4">
        <f t="shared" si="16"/>
        <v>753.778172936463</v>
      </c>
      <c r="AJ16" t="e">
        <f ca="1">OFFSET(Calcs!$D$3,Input_Output!AF16,0)</f>
        <v>#DIV/0!</v>
      </c>
      <c r="AK16" t="e">
        <f ca="1">OFFSET(Calcs!$AZ$3,Input_Output!AF16,0)</f>
        <v>#DIV/0!</v>
      </c>
      <c r="AL16" s="4" t="str">
        <f>$A$31</f>
        <v>E</v>
      </c>
      <c r="AM16" s="4">
        <v>2</v>
      </c>
      <c r="AN16" s="4" t="str">
        <f t="shared" si="6"/>
        <v>E2</v>
      </c>
      <c r="AO16" s="4">
        <f t="shared" si="17"/>
        <v>2</v>
      </c>
      <c r="AP16" s="4">
        <f t="shared" si="18"/>
        <v>2</v>
      </c>
      <c r="AQ16" s="98">
        <f ca="1" t="shared" si="19"/>
        <v>2324.15036655409</v>
      </c>
      <c r="AR16">
        <f ca="1" t="shared" si="7"/>
        <v>2826.66814851173</v>
      </c>
      <c r="AS16" t="str">
        <f t="shared" si="20"/>
        <v>D2</v>
      </c>
      <c r="AT16" s="8">
        <f ca="1" t="shared" si="21"/>
        <v>502.51778195764</v>
      </c>
      <c r="AV16">
        <f ca="1" t="shared" si="23"/>
        <v>2324.14936655409</v>
      </c>
      <c r="AX16" t="e">
        <f ca="1">MATCH(AN16,Calcs!$BA$3:$BA$30,0)</f>
        <v>#N/A</v>
      </c>
      <c r="AY16" t="e">
        <f ca="1">OFFSET(Calcs!$AZ$2,Input_Output!AX16,0)</f>
        <v>#N/A</v>
      </c>
      <c r="AZ16" t="e">
        <f ca="1">OFFSET(Calcs!$BI$2,Input_Output!AX16,0)</f>
        <v>#N/A</v>
      </c>
      <c r="BA16" t="e">
        <f ca="1">OFFSET(Calcs!$BN$2,Input_Output!AX16,0)</f>
        <v>#N/A</v>
      </c>
      <c r="BB16" t="e">
        <f ca="1">OFFSET(Calcs!$BS$2,Input_Output!AX16,0)</f>
        <v>#N/A</v>
      </c>
    </row>
    <row r="17" spans="1:54">
      <c r="A17" t="s">
        <v>88</v>
      </c>
      <c r="B17" s="78">
        <v>0.975</v>
      </c>
      <c r="C17" t="s">
        <v>89</v>
      </c>
      <c r="D17"/>
      <c r="K17" s="4">
        <v>7</v>
      </c>
      <c r="L17" s="4">
        <f t="shared" si="8"/>
        <v>875</v>
      </c>
      <c r="M17" s="21" t="e">
        <f ca="1">VLOOKUP(K17,Calcs!$Q$3:$T$30,4)</f>
        <v>#DIV/0!</v>
      </c>
      <c r="N17" s="21" t="e">
        <f ca="1" t="shared" si="24"/>
        <v>#DIV/0!</v>
      </c>
      <c r="O17" s="6" t="e">
        <f ca="1">AVERAGE(OFFSET(Calcs!$K$3,AE17,0):OFFSET(Calcs!$K$3,Input_Output!AF17-1,0))</f>
        <v>#DIV/0!</v>
      </c>
      <c r="P17" t="e">
        <f ca="1" t="shared" si="9"/>
        <v>#DIV/0!</v>
      </c>
      <c r="Q17" s="6" t="e">
        <f ca="1" t="shared" si="10"/>
        <v>#DIV/0!</v>
      </c>
      <c r="Y17" s="8" t="e">
        <f ca="1" t="shared" si="11"/>
        <v>#DIV/0!</v>
      </c>
      <c r="Z17" s="8" t="e">
        <f ca="1" t="shared" si="12"/>
        <v>#DIV/0!</v>
      </c>
      <c r="AA17" s="8" t="e">
        <f ca="1" t="shared" si="13"/>
        <v>#DIV/0!</v>
      </c>
      <c r="AB17" s="8" t="e">
        <f ca="1" t="shared" si="14"/>
        <v>#DIV/0!</v>
      </c>
      <c r="AC17" s="8" t="e">
        <f ca="1" t="shared" si="15"/>
        <v>#DIV/0!</v>
      </c>
      <c r="AE17">
        <f ca="1" t="shared" si="22"/>
        <v>16</v>
      </c>
      <c r="AF17">
        <f ca="1">MATCH(K17,Calcs!$S$3:$S$30,0)</f>
        <v>16</v>
      </c>
      <c r="AH17" s="4">
        <v>7</v>
      </c>
      <c r="AI17" s="4">
        <f t="shared" si="16"/>
        <v>879.407868425873</v>
      </c>
      <c r="AJ17" t="e">
        <f ca="1">OFFSET(Calcs!$D$3,Input_Output!AF17,0)</f>
        <v>#DIV/0!</v>
      </c>
      <c r="AK17" t="e">
        <f ca="1">OFFSET(Calcs!$AZ$3,Input_Output!AF17,0)</f>
        <v>#DIV/0!</v>
      </c>
      <c r="AL17" s="4" t="str">
        <f>$A$32</f>
        <v>D</v>
      </c>
      <c r="AM17" s="4">
        <v>2</v>
      </c>
      <c r="AN17" s="4" t="str">
        <f t="shared" si="6"/>
        <v>D2</v>
      </c>
      <c r="AO17" s="4">
        <f t="shared" si="17"/>
        <v>3</v>
      </c>
      <c r="AP17" s="4">
        <f t="shared" si="18"/>
        <v>2</v>
      </c>
      <c r="AQ17" s="98">
        <f ca="1" t="shared" si="19"/>
        <v>2826.66914851173</v>
      </c>
      <c r="AR17">
        <f ca="1" t="shared" si="7"/>
        <v>3454.81662595879</v>
      </c>
      <c r="AS17" t="str">
        <f t="shared" si="20"/>
        <v>B2</v>
      </c>
      <c r="AT17" s="8">
        <f ca="1" t="shared" si="21"/>
        <v>628.14747744706</v>
      </c>
      <c r="AV17">
        <f ca="1" t="shared" si="23"/>
        <v>2826.66814851173</v>
      </c>
      <c r="AX17" t="e">
        <f ca="1">MATCH(AN17,Calcs!$BA$3:$BA$30,0)</f>
        <v>#N/A</v>
      </c>
      <c r="AY17" t="e">
        <f ca="1">OFFSET(Calcs!$AZ$2,Input_Output!AX17,0)</f>
        <v>#N/A</v>
      </c>
      <c r="AZ17" t="e">
        <f ca="1">OFFSET(Calcs!$BI$2,Input_Output!AX17,0)</f>
        <v>#N/A</v>
      </c>
      <c r="BA17" t="e">
        <f ca="1">OFFSET(Calcs!$BN$2,Input_Output!AX17,0)</f>
        <v>#N/A</v>
      </c>
      <c r="BB17" t="e">
        <f ca="1">OFFSET(Calcs!$BS$2,Input_Output!AX17,0)</f>
        <v>#N/A</v>
      </c>
    </row>
    <row r="18" spans="1:54">
      <c r="A18" t="s">
        <v>90</v>
      </c>
      <c r="B18" s="52">
        <v>0.08</v>
      </c>
      <c r="C18" t="s">
        <v>91</v>
      </c>
      <c r="D18"/>
      <c r="K18" s="4">
        <v>8</v>
      </c>
      <c r="L18" s="4">
        <f t="shared" si="8"/>
        <v>1000</v>
      </c>
      <c r="M18" s="21" t="e">
        <f ca="1">VLOOKUP(K18,Calcs!$Q$3:$T$30,4)</f>
        <v>#DIV/0!</v>
      </c>
      <c r="N18" s="21" t="e">
        <f ca="1" t="shared" si="24"/>
        <v>#DIV/0!</v>
      </c>
      <c r="O18" s="6" t="e">
        <f ca="1">AVERAGE(OFFSET(Calcs!$K$3,AE18,0):OFFSET(Calcs!$K$3,Input_Output!AF18-1,0))</f>
        <v>#DIV/0!</v>
      </c>
      <c r="P18" t="e">
        <f ca="1" t="shared" si="9"/>
        <v>#DIV/0!</v>
      </c>
      <c r="Q18" s="6" t="e">
        <f ca="1" t="shared" si="10"/>
        <v>#DIV/0!</v>
      </c>
      <c r="Y18" s="8" t="e">
        <f ca="1" t="shared" si="11"/>
        <v>#DIV/0!</v>
      </c>
      <c r="Z18" s="8" t="e">
        <f ca="1" t="shared" si="12"/>
        <v>#DIV/0!</v>
      </c>
      <c r="AA18" s="8" t="e">
        <f ca="1" t="shared" si="13"/>
        <v>#DIV/0!</v>
      </c>
      <c r="AB18" s="8" t="e">
        <f ca="1" t="shared" si="14"/>
        <v>#DIV/0!</v>
      </c>
      <c r="AC18" s="8" t="e">
        <f ca="1" t="shared" si="15"/>
        <v>#DIV/0!</v>
      </c>
      <c r="AE18">
        <f ca="1" t="shared" si="22"/>
        <v>17</v>
      </c>
      <c r="AF18">
        <f ca="1">MATCH(K18,Calcs!$S$3:$S$30,0)</f>
        <v>17</v>
      </c>
      <c r="AH18" s="4">
        <v>8</v>
      </c>
      <c r="AI18" s="4">
        <f t="shared" si="16"/>
        <v>1005.03756391528</v>
      </c>
      <c r="AJ18" t="e">
        <f ca="1">OFFSET(Calcs!$D$3,Input_Output!AF18,0)</f>
        <v>#DIV/0!</v>
      </c>
      <c r="AK18" t="e">
        <f ca="1">OFFSET(Calcs!$AZ$3,Input_Output!AF18,0)</f>
        <v>#DIV/0!</v>
      </c>
      <c r="AL18" s="4" t="str">
        <f>$A$33</f>
        <v>B</v>
      </c>
      <c r="AM18" s="4">
        <v>2</v>
      </c>
      <c r="AN18" s="4" t="str">
        <f t="shared" si="6"/>
        <v>B2</v>
      </c>
      <c r="AO18" s="4">
        <f t="shared" si="17"/>
        <v>4</v>
      </c>
      <c r="AP18" s="4">
        <f t="shared" si="18"/>
        <v>2</v>
      </c>
      <c r="AQ18" s="98">
        <f ca="1" t="shared" si="19"/>
        <v>3454.81762595879</v>
      </c>
      <c r="AR18">
        <f ca="1" t="shared" si="7"/>
        <v>4020.15025566113</v>
      </c>
      <c r="AS18" t="str">
        <f t="shared" si="20"/>
        <v>A3</v>
      </c>
      <c r="AT18" s="8">
        <f ca="1" t="shared" si="21"/>
        <v>565.33262970234</v>
      </c>
      <c r="AV18">
        <f ca="1" t="shared" si="23"/>
        <v>3454.81662595879</v>
      </c>
      <c r="AX18" t="e">
        <f ca="1">MATCH(AN18,Calcs!$BA$3:$BA$30,0)</f>
        <v>#N/A</v>
      </c>
      <c r="AY18" t="e">
        <f ca="1">OFFSET(Calcs!$AZ$2,Input_Output!AX18,0)</f>
        <v>#N/A</v>
      </c>
      <c r="AZ18" t="e">
        <f ca="1">OFFSET(Calcs!$BI$2,Input_Output!AX18,0)</f>
        <v>#N/A</v>
      </c>
      <c r="BA18" t="e">
        <f ca="1">OFFSET(Calcs!$BN$2,Input_Output!AX18,0)</f>
        <v>#N/A</v>
      </c>
      <c r="BB18" t="e">
        <f ca="1">OFFSET(Calcs!$BS$2,Input_Output!AX18,0)</f>
        <v>#N/A</v>
      </c>
    </row>
    <row r="19" spans="1:54">
      <c r="A19" t="s">
        <v>92</v>
      </c>
      <c r="B19" s="52">
        <v>0.08</v>
      </c>
      <c r="C19" t="s">
        <v>91</v>
      </c>
      <c r="D19"/>
      <c r="K19" s="4">
        <v>9</v>
      </c>
      <c r="L19" s="4">
        <f t="shared" si="8"/>
        <v>1125</v>
      </c>
      <c r="M19" s="21" t="e">
        <f ca="1">VLOOKUP(K19,Calcs!$Q$3:$T$30,4)</f>
        <v>#DIV/0!</v>
      </c>
      <c r="N19" s="21" t="e">
        <f ca="1" t="shared" si="24"/>
        <v>#DIV/0!</v>
      </c>
      <c r="O19" s="6" t="e">
        <f ca="1">AVERAGE(OFFSET(Calcs!$K$3,AE19,0):OFFSET(Calcs!$K$3,Input_Output!AF19-1,0))</f>
        <v>#DIV/0!</v>
      </c>
      <c r="P19" t="e">
        <f ca="1" t="shared" si="9"/>
        <v>#DIV/0!</v>
      </c>
      <c r="Q19" s="6" t="e">
        <f ca="1" t="shared" si="10"/>
        <v>#DIV/0!</v>
      </c>
      <c r="Y19" s="8" t="e">
        <f ca="1" t="shared" si="11"/>
        <v>#DIV/0!</v>
      </c>
      <c r="Z19" s="8" t="e">
        <f ca="1" t="shared" si="12"/>
        <v>#DIV/0!</v>
      </c>
      <c r="AA19" s="8" t="e">
        <f ca="1" t="shared" si="13"/>
        <v>#DIV/0!</v>
      </c>
      <c r="AB19" s="8" t="e">
        <f ca="1" t="shared" si="14"/>
        <v>#DIV/0!</v>
      </c>
      <c r="AC19" s="8" t="e">
        <f ca="1" t="shared" si="15"/>
        <v>#DIV/0!</v>
      </c>
      <c r="AE19">
        <f ca="1" t="shared" si="22"/>
        <v>18</v>
      </c>
      <c r="AF19">
        <f ca="1">MATCH(K19,Calcs!$S$3:$S$30,0)</f>
        <v>18</v>
      </c>
      <c r="AH19" s="4">
        <v>9</v>
      </c>
      <c r="AI19" s="4">
        <f t="shared" si="16"/>
        <v>1130.66725940469</v>
      </c>
      <c r="AJ19" t="e">
        <f ca="1">OFFSET(Calcs!$D$3,Input_Output!AF19,0)</f>
        <v>#DIV/0!</v>
      </c>
      <c r="AK19" t="e">
        <f ca="1">OFFSET(Calcs!$AZ$3,Input_Output!AF19,0)</f>
        <v>#DIV/0!</v>
      </c>
      <c r="AL19" s="4" t="str">
        <f>$A$30</f>
        <v>A</v>
      </c>
      <c r="AM19" s="4">
        <v>3</v>
      </c>
      <c r="AN19" s="4" t="str">
        <f t="shared" si="6"/>
        <v>A3</v>
      </c>
      <c r="AO19" s="4">
        <f t="shared" si="17"/>
        <v>1</v>
      </c>
      <c r="AP19" s="4">
        <f t="shared" si="18"/>
        <v>3</v>
      </c>
      <c r="AQ19" s="98">
        <f ca="1" t="shared" si="19"/>
        <v>4020.15125566113</v>
      </c>
      <c r="AR19">
        <f ca="1" t="shared" si="7"/>
        <v>4020.15025566113</v>
      </c>
      <c r="AS19" t="str">
        <f t="shared" si="20"/>
        <v>E3</v>
      </c>
      <c r="AT19" s="8">
        <f ca="1" t="shared" si="21"/>
        <v>-0.00100000000020373</v>
      </c>
      <c r="AV19">
        <f ca="1" t="shared" si="23"/>
        <v>4020.15025566113</v>
      </c>
      <c r="AX19" t="e">
        <f ca="1">MATCH(AN19,Calcs!$BA$3:$BA$30,0)</f>
        <v>#N/A</v>
      </c>
      <c r="AY19" t="e">
        <f ca="1">OFFSET(Calcs!$AZ$2,Input_Output!AX19,0)</f>
        <v>#N/A</v>
      </c>
      <c r="AZ19" t="e">
        <f ca="1">OFFSET(Calcs!$BI$2,Input_Output!AX19,0)</f>
        <v>#N/A</v>
      </c>
      <c r="BA19" t="e">
        <f ca="1">OFFSET(Calcs!$BN$2,Input_Output!AX19,0)</f>
        <v>#N/A</v>
      </c>
      <c r="BB19" t="e">
        <f ca="1">OFFSET(Calcs!$BS$2,Input_Output!AX19,0)</f>
        <v>#N/A</v>
      </c>
    </row>
    <row r="20" spans="1:54">
      <c r="A20" t="s">
        <v>93</v>
      </c>
      <c r="B20" s="52">
        <v>0.336</v>
      </c>
      <c r="C20" t="s">
        <v>75</v>
      </c>
      <c r="D20"/>
      <c r="G20" s="8"/>
      <c r="K20" s="4">
        <v>10</v>
      </c>
      <c r="L20" s="4">
        <f t="shared" si="8"/>
        <v>1250</v>
      </c>
      <c r="M20" s="21" t="e">
        <f ca="1">VLOOKUP(K20,Calcs!$Q$3:$T$30,4)</f>
        <v>#DIV/0!</v>
      </c>
      <c r="N20" s="21" t="e">
        <f ca="1" t="shared" si="24"/>
        <v>#DIV/0!</v>
      </c>
      <c r="O20" s="6" t="e">
        <f ca="1">AVERAGE(OFFSET(Calcs!$K$3,AE20,0):OFFSET(Calcs!$K$3,Input_Output!AF20-1,0))</f>
        <v>#DIV/0!</v>
      </c>
      <c r="P20" t="e">
        <f ca="1" t="shared" si="9"/>
        <v>#DIV/0!</v>
      </c>
      <c r="Q20" s="6" t="e">
        <f ca="1" t="shared" si="10"/>
        <v>#DIV/0!</v>
      </c>
      <c r="Y20" s="8" t="e">
        <f ca="1" t="shared" si="11"/>
        <v>#DIV/0!</v>
      </c>
      <c r="Z20" s="8" t="e">
        <f ca="1" t="shared" si="12"/>
        <v>#DIV/0!</v>
      </c>
      <c r="AA20" s="8" t="e">
        <f ca="1" t="shared" si="13"/>
        <v>#DIV/0!</v>
      </c>
      <c r="AB20" s="8" t="e">
        <f ca="1" t="shared" si="14"/>
        <v>#DIV/0!</v>
      </c>
      <c r="AC20" s="8" t="e">
        <f ca="1" t="shared" si="15"/>
        <v>#DIV/0!</v>
      </c>
      <c r="AE20">
        <f ca="1" t="shared" si="22"/>
        <v>19</v>
      </c>
      <c r="AF20">
        <f ca="1">MATCH(K20,Calcs!$S$3:$S$30,0)</f>
        <v>19</v>
      </c>
      <c r="AH20" s="4">
        <v>10</v>
      </c>
      <c r="AI20" s="4">
        <f t="shared" si="16"/>
        <v>1256.2969548941</v>
      </c>
      <c r="AJ20" t="e">
        <f ca="1">OFFSET(Calcs!$D$3,Input_Output!AF20,0)</f>
        <v>#DIV/0!</v>
      </c>
      <c r="AK20" t="e">
        <f ca="1">OFFSET(Calcs!$AZ$3,Input_Output!AF20,0)</f>
        <v>#DIV/0!</v>
      </c>
      <c r="AL20" s="4" t="str">
        <f>$A$31</f>
        <v>E</v>
      </c>
      <c r="AM20" s="4">
        <v>3</v>
      </c>
      <c r="AN20" s="4" t="str">
        <f t="shared" si="6"/>
        <v>E3</v>
      </c>
      <c r="AO20" s="4">
        <f t="shared" si="17"/>
        <v>2</v>
      </c>
      <c r="AP20" s="4">
        <f t="shared" si="18"/>
        <v>3</v>
      </c>
      <c r="AQ20" s="98">
        <f ca="1" t="shared" si="19"/>
        <v>4020.15125566113</v>
      </c>
      <c r="AR20">
        <f ca="1" t="shared" si="7"/>
        <v>4020.15025566113</v>
      </c>
      <c r="AS20" t="str">
        <f t="shared" si="20"/>
        <v>D3</v>
      </c>
      <c r="AT20" s="8">
        <f ca="1" t="shared" si="21"/>
        <v>-0.00100000000020373</v>
      </c>
      <c r="AV20">
        <f ca="1" t="shared" si="23"/>
        <v>4020.15025566113</v>
      </c>
      <c r="AX20" t="e">
        <f ca="1">MATCH(AN20,Calcs!$BA$3:$BA$30,0)</f>
        <v>#N/A</v>
      </c>
      <c r="AY20" t="e">
        <f ca="1">OFFSET(Calcs!$AZ$2,Input_Output!AX20,0)</f>
        <v>#N/A</v>
      </c>
      <c r="AZ20" t="e">
        <f ca="1">OFFSET(Calcs!$BI$2,Input_Output!AX20,0)</f>
        <v>#N/A</v>
      </c>
      <c r="BA20" t="e">
        <f ca="1">OFFSET(Calcs!$BN$2,Input_Output!AX20,0)</f>
        <v>#N/A</v>
      </c>
      <c r="BB20" t="e">
        <f ca="1">OFFSET(Calcs!$BS$2,Input_Output!AX20,0)</f>
        <v>#N/A</v>
      </c>
    </row>
    <row r="21" spans="1:54">
      <c r="A21" t="s">
        <v>94</v>
      </c>
      <c r="B21" s="52">
        <v>17</v>
      </c>
      <c r="C21" t="s">
        <v>37</v>
      </c>
      <c r="D21"/>
      <c r="K21" s="4">
        <v>11</v>
      </c>
      <c r="L21" s="4">
        <f t="shared" si="8"/>
        <v>1375</v>
      </c>
      <c r="M21" s="21" t="e">
        <f ca="1">VLOOKUP(K21,Calcs!$Q$3:$T$30,4)</f>
        <v>#DIV/0!</v>
      </c>
      <c r="N21" s="21" t="e">
        <f ca="1" t="shared" si="24"/>
        <v>#DIV/0!</v>
      </c>
      <c r="O21" s="6" t="e">
        <f ca="1">AVERAGE(OFFSET(Calcs!$K$3,AE21,0):OFFSET(Calcs!$K$3,Input_Output!AF21-1,0))</f>
        <v>#DIV/0!</v>
      </c>
      <c r="P21" t="e">
        <f ca="1" t="shared" si="9"/>
        <v>#DIV/0!</v>
      </c>
      <c r="Q21" s="6" t="e">
        <f ca="1" t="shared" si="10"/>
        <v>#DIV/0!</v>
      </c>
      <c r="Y21" s="8" t="e">
        <f ca="1" t="shared" si="11"/>
        <v>#DIV/0!</v>
      </c>
      <c r="Z21" s="8" t="e">
        <f ca="1" t="shared" si="12"/>
        <v>#DIV/0!</v>
      </c>
      <c r="AA21" s="8" t="e">
        <f ca="1" t="shared" si="13"/>
        <v>#DIV/0!</v>
      </c>
      <c r="AB21" s="8" t="e">
        <f ca="1" t="shared" si="14"/>
        <v>#DIV/0!</v>
      </c>
      <c r="AC21" s="8" t="e">
        <f ca="1" t="shared" si="15"/>
        <v>#DIV/0!</v>
      </c>
      <c r="AE21">
        <f ca="1" t="shared" si="22"/>
        <v>20</v>
      </c>
      <c r="AF21">
        <f ca="1">MATCH(K21,Calcs!$S$3:$S$30,0)</f>
        <v>20</v>
      </c>
      <c r="AH21" s="4">
        <v>11</v>
      </c>
      <c r="AI21" s="4">
        <f t="shared" si="16"/>
        <v>1381.92665038351</v>
      </c>
      <c r="AJ21" t="e">
        <f ca="1">OFFSET(Calcs!$D$3,Input_Output!AF21,0)</f>
        <v>#DIV/0!</v>
      </c>
      <c r="AK21" t="e">
        <f ca="1">OFFSET(Calcs!$AZ$3,Input_Output!AF21,0)</f>
        <v>#DIV/0!</v>
      </c>
      <c r="AL21" s="4" t="str">
        <f>$A$32</f>
        <v>D</v>
      </c>
      <c r="AM21" s="4">
        <v>3</v>
      </c>
      <c r="AN21" s="4" t="str">
        <f t="shared" si="6"/>
        <v>D3</v>
      </c>
      <c r="AO21" s="4">
        <f t="shared" si="17"/>
        <v>3</v>
      </c>
      <c r="AP21" s="4">
        <f t="shared" si="18"/>
        <v>3</v>
      </c>
      <c r="AQ21" s="98">
        <f ca="1" t="shared" si="19"/>
        <v>4020.15125566113</v>
      </c>
      <c r="AR21">
        <f ca="1" t="shared" si="7"/>
        <v>4020.15025566113</v>
      </c>
      <c r="AS21" t="str">
        <f t="shared" si="20"/>
        <v>B3</v>
      </c>
      <c r="AT21" s="8">
        <f ca="1" t="shared" si="21"/>
        <v>-0.00100000000020373</v>
      </c>
      <c r="AV21">
        <f ca="1" t="shared" si="23"/>
        <v>4020.15025566113</v>
      </c>
      <c r="AX21" t="e">
        <f ca="1">MATCH(AN21,Calcs!$BA$3:$BA$30,0)</f>
        <v>#N/A</v>
      </c>
      <c r="AY21" t="e">
        <f ca="1">OFFSET(Calcs!$AZ$2,Input_Output!AX21,0)</f>
        <v>#N/A</v>
      </c>
      <c r="AZ21" t="e">
        <f ca="1">OFFSET(Calcs!$BI$2,Input_Output!AX21,0)</f>
        <v>#N/A</v>
      </c>
      <c r="BA21" t="e">
        <f ca="1">OFFSET(Calcs!$BN$2,Input_Output!AX21,0)</f>
        <v>#N/A</v>
      </c>
      <c r="BB21" t="e">
        <f ca="1">OFFSET(Calcs!$BS$2,Input_Output!AX21,0)</f>
        <v>#N/A</v>
      </c>
    </row>
    <row r="22" spans="1:54">
      <c r="A22" s="79" t="s">
        <v>95</v>
      </c>
      <c r="B22" s="52" t="s">
        <v>96</v>
      </c>
      <c r="C22" s="99" t="s">
        <v>97</v>
      </c>
      <c r="D22"/>
      <c r="K22" s="4">
        <v>12</v>
      </c>
      <c r="L22" s="4">
        <f t="shared" si="8"/>
        <v>1500</v>
      </c>
      <c r="M22" s="21" t="e">
        <f ca="1">VLOOKUP(K22,Calcs!$Q$3:$T$30,4)</f>
        <v>#DIV/0!</v>
      </c>
      <c r="N22" s="21" t="e">
        <f ca="1" t="shared" si="24"/>
        <v>#DIV/0!</v>
      </c>
      <c r="O22" s="6" t="e">
        <f ca="1">AVERAGE(OFFSET(Calcs!$K$3,AE22,0):OFFSET(Calcs!$K$3,Input_Output!AF22-1,0))</f>
        <v>#DIV/0!</v>
      </c>
      <c r="P22" t="e">
        <f ca="1" t="shared" si="9"/>
        <v>#DIV/0!</v>
      </c>
      <c r="Q22" s="6" t="e">
        <f ca="1" t="shared" si="10"/>
        <v>#DIV/0!</v>
      </c>
      <c r="Y22" s="8" t="e">
        <f ca="1" t="shared" si="11"/>
        <v>#DIV/0!</v>
      </c>
      <c r="Z22" s="8" t="e">
        <f ca="1" t="shared" si="12"/>
        <v>#DIV/0!</v>
      </c>
      <c r="AA22" s="8" t="e">
        <f ca="1" t="shared" si="13"/>
        <v>#DIV/0!</v>
      </c>
      <c r="AB22" s="8" t="e">
        <f ca="1" t="shared" si="14"/>
        <v>#DIV/0!</v>
      </c>
      <c r="AC22" s="8" t="e">
        <f ca="1" t="shared" si="15"/>
        <v>#DIV/0!</v>
      </c>
      <c r="AE22">
        <f ca="1" t="shared" si="22"/>
        <v>21</v>
      </c>
      <c r="AF22">
        <f ca="1">MATCH(K22,Calcs!$S$3:$S$30,0)</f>
        <v>21</v>
      </c>
      <c r="AH22" s="4">
        <v>12</v>
      </c>
      <c r="AI22" s="4">
        <f t="shared" si="16"/>
        <v>1507.55634587292</v>
      </c>
      <c r="AJ22" t="e">
        <f ca="1">OFFSET(Calcs!$D$3,Input_Output!AF22,0)</f>
        <v>#DIV/0!</v>
      </c>
      <c r="AK22" t="e">
        <f ca="1">OFFSET(Calcs!$AZ$3,Input_Output!AF22,0)</f>
        <v>#DIV/0!</v>
      </c>
      <c r="AL22" s="4" t="str">
        <f>$A$33</f>
        <v>B</v>
      </c>
      <c r="AM22" s="4">
        <v>3</v>
      </c>
      <c r="AN22" s="4" t="str">
        <f t="shared" si="6"/>
        <v>B3</v>
      </c>
      <c r="AO22" s="4">
        <f t="shared" si="17"/>
        <v>4</v>
      </c>
      <c r="AP22" s="4">
        <f t="shared" ref="AP22:AP30" si="25">AM22</f>
        <v>3</v>
      </c>
      <c r="AQ22" s="98">
        <f ca="1" t="shared" si="19"/>
        <v>4020.15125566113</v>
      </c>
      <c r="AR22">
        <f ca="1" t="shared" si="7"/>
        <v>4020.15025566113</v>
      </c>
      <c r="AS22" t="str">
        <f t="shared" si="20"/>
        <v>A4</v>
      </c>
      <c r="AT22" s="8">
        <f ca="1" t="shared" si="21"/>
        <v>-0.00100000000020373</v>
      </c>
      <c r="AV22">
        <f ca="1" t="shared" si="23"/>
        <v>4020.15025566113</v>
      </c>
      <c r="AX22" t="e">
        <f ca="1">MATCH(AN22,Calcs!$BA$3:$BA$30,0)</f>
        <v>#N/A</v>
      </c>
      <c r="AY22" t="e">
        <f ca="1">OFFSET(Calcs!$AZ$2,Input_Output!AX22,0)</f>
        <v>#N/A</v>
      </c>
      <c r="AZ22" t="e">
        <f ca="1">OFFSET(Calcs!$BI$2,Input_Output!AX22,0)</f>
        <v>#N/A</v>
      </c>
      <c r="BA22" t="e">
        <f ca="1">OFFSET(Calcs!$BN$2,Input_Output!AX22,0)</f>
        <v>#N/A</v>
      </c>
      <c r="BB22" t="e">
        <f ca="1">OFFSET(Calcs!$BS$2,Input_Output!AX22,0)</f>
        <v>#N/A</v>
      </c>
    </row>
    <row r="23" spans="1:54">
      <c r="A23" s="79" t="s">
        <v>98</v>
      </c>
      <c r="B23" s="52">
        <v>0.4</v>
      </c>
      <c r="C23" s="99" t="s">
        <v>99</v>
      </c>
      <c r="K23" s="4">
        <v>13</v>
      </c>
      <c r="L23" s="4">
        <f t="shared" si="8"/>
        <v>1625</v>
      </c>
      <c r="M23" s="21" t="e">
        <f ca="1">VLOOKUP(K23,Calcs!$Q$3:$T$30,4)</f>
        <v>#DIV/0!</v>
      </c>
      <c r="N23" s="21" t="e">
        <f ca="1" t="shared" si="24"/>
        <v>#DIV/0!</v>
      </c>
      <c r="O23" s="6" t="e">
        <f ca="1">AVERAGE(OFFSET(Calcs!$K$3,AE23,0):OFFSET(Calcs!$K$3,Input_Output!AF23-1,0))</f>
        <v>#DIV/0!</v>
      </c>
      <c r="P23" t="e">
        <f ca="1" t="shared" si="9"/>
        <v>#DIV/0!</v>
      </c>
      <c r="Q23" s="6" t="e">
        <f ca="1" t="shared" si="10"/>
        <v>#DIV/0!</v>
      </c>
      <c r="Y23" s="8" t="e">
        <f ca="1" t="shared" si="11"/>
        <v>#DIV/0!</v>
      </c>
      <c r="Z23" s="8" t="e">
        <f ca="1" t="shared" si="12"/>
        <v>#DIV/0!</v>
      </c>
      <c r="AA23" s="8" t="e">
        <f ca="1" t="shared" si="13"/>
        <v>#DIV/0!</v>
      </c>
      <c r="AB23" s="8" t="e">
        <f ca="1" t="shared" si="14"/>
        <v>#DIV/0!</v>
      </c>
      <c r="AC23" s="8" t="e">
        <f ca="1" t="shared" si="15"/>
        <v>#DIV/0!</v>
      </c>
      <c r="AE23">
        <f ca="1" t="shared" si="22"/>
        <v>22</v>
      </c>
      <c r="AF23">
        <f ca="1">MATCH(K23,Calcs!$S$3:$S$30,0)</f>
        <v>22</v>
      </c>
      <c r="AH23" s="4">
        <v>13</v>
      </c>
      <c r="AI23" s="4">
        <f t="shared" si="16"/>
        <v>1633.18604136234</v>
      </c>
      <c r="AJ23" t="e">
        <f ca="1">OFFSET(Calcs!$D$3,Input_Output!AF23,0)</f>
        <v>#DIV/0!</v>
      </c>
      <c r="AK23" t="e">
        <f ca="1">OFFSET(Calcs!$AZ$3,Input_Output!AF23,0)</f>
        <v>#DIV/0!</v>
      </c>
      <c r="AL23" s="4" t="str">
        <f>$A$30</f>
        <v>A</v>
      </c>
      <c r="AM23" s="4">
        <v>4</v>
      </c>
      <c r="AN23" s="4" t="str">
        <f t="shared" si="6"/>
        <v>A4</v>
      </c>
      <c r="AO23" s="4">
        <f t="shared" si="17"/>
        <v>1</v>
      </c>
      <c r="AP23" s="4">
        <f t="shared" si="25"/>
        <v>4</v>
      </c>
      <c r="AQ23" s="98">
        <f ca="1" t="shared" si="19"/>
        <v>4020.15125566113</v>
      </c>
      <c r="AR23">
        <f ca="1" t="shared" si="7"/>
        <v>4020.15025566113</v>
      </c>
      <c r="AS23" t="str">
        <f t="shared" si="20"/>
        <v>E4</v>
      </c>
      <c r="AT23" s="8">
        <f ca="1" t="shared" si="21"/>
        <v>-0.00100000000020373</v>
      </c>
      <c r="AV23">
        <f ca="1" t="shared" si="23"/>
        <v>4020.15025566113</v>
      </c>
      <c r="AX23" t="e">
        <f ca="1">MATCH(AN23,Calcs!$BA$3:$BA$30,0)</f>
        <v>#N/A</v>
      </c>
      <c r="AY23" t="e">
        <f ca="1">OFFSET(Calcs!$AZ$2,Input_Output!AX23,0)</f>
        <v>#N/A</v>
      </c>
      <c r="AZ23" t="e">
        <f ca="1">OFFSET(Calcs!$BI$2,Input_Output!AX23,0)</f>
        <v>#N/A</v>
      </c>
      <c r="BA23" t="e">
        <f ca="1">OFFSET(Calcs!$BN$2,Input_Output!AX23,0)</f>
        <v>#N/A</v>
      </c>
      <c r="BB23" t="e">
        <f ca="1">OFFSET(Calcs!$BS$2,Input_Output!AX23,0)</f>
        <v>#N/A</v>
      </c>
    </row>
    <row r="24" spans="1:54">
      <c r="A24" s="79" t="s">
        <v>100</v>
      </c>
      <c r="B24" s="52" t="s">
        <v>101</v>
      </c>
      <c r="C24" s="99" t="s">
        <v>102</v>
      </c>
      <c r="D24" s="80"/>
      <c r="K24" s="4">
        <v>14</v>
      </c>
      <c r="L24" s="4">
        <f t="shared" si="8"/>
        <v>1750</v>
      </c>
      <c r="M24" s="21" t="e">
        <f ca="1">VLOOKUP(K24,Calcs!$Q$3:$T$30,4)</f>
        <v>#DIV/0!</v>
      </c>
      <c r="N24" s="21" t="e">
        <f ca="1" t="shared" si="24"/>
        <v>#DIV/0!</v>
      </c>
      <c r="O24" s="6" t="e">
        <f ca="1">AVERAGE(OFFSET(Calcs!$K$3,AE24,0):OFFSET(Calcs!$K$3,Input_Output!AF24-1,0))</f>
        <v>#DIV/0!</v>
      </c>
      <c r="P24" t="e">
        <f ca="1" t="shared" si="9"/>
        <v>#DIV/0!</v>
      </c>
      <c r="Q24" s="6" t="e">
        <f ca="1" t="shared" si="10"/>
        <v>#DIV/0!</v>
      </c>
      <c r="Y24" s="8" t="e">
        <f ca="1" t="shared" si="11"/>
        <v>#DIV/0!</v>
      </c>
      <c r="Z24" s="8" t="e">
        <f ca="1" t="shared" si="12"/>
        <v>#DIV/0!</v>
      </c>
      <c r="AA24" s="8" t="e">
        <f ca="1" t="shared" si="13"/>
        <v>#DIV/0!</v>
      </c>
      <c r="AB24" s="8" t="e">
        <f ca="1" t="shared" si="14"/>
        <v>#DIV/0!</v>
      </c>
      <c r="AC24" s="8" t="e">
        <f ca="1" t="shared" si="15"/>
        <v>#DIV/0!</v>
      </c>
      <c r="AE24">
        <f ca="1" t="shared" si="22"/>
        <v>23</v>
      </c>
      <c r="AF24">
        <f ca="1">MATCH(K24,Calcs!$S$3:$S$30,0)</f>
        <v>23</v>
      </c>
      <c r="AH24" s="4">
        <v>14</v>
      </c>
      <c r="AI24" s="4">
        <f t="shared" si="16"/>
        <v>1758.81573685175</v>
      </c>
      <c r="AJ24" t="e">
        <f ca="1">OFFSET(Calcs!$D$3,Input_Output!AF24,0)</f>
        <v>#DIV/0!</v>
      </c>
      <c r="AK24" t="e">
        <f ca="1">OFFSET(Calcs!$AZ$3,Input_Output!AF24,0)</f>
        <v>#DIV/0!</v>
      </c>
      <c r="AL24" s="4" t="str">
        <f>$A$31</f>
        <v>E</v>
      </c>
      <c r="AM24" s="4">
        <v>4</v>
      </c>
      <c r="AN24" s="4" t="str">
        <f t="shared" si="6"/>
        <v>E4</v>
      </c>
      <c r="AO24" s="4">
        <f t="shared" si="17"/>
        <v>2</v>
      </c>
      <c r="AP24" s="4">
        <f t="shared" si="25"/>
        <v>4</v>
      </c>
      <c r="AQ24" s="98">
        <f ca="1" t="shared" si="19"/>
        <v>4020.15125566113</v>
      </c>
      <c r="AR24">
        <f ca="1" t="shared" si="7"/>
        <v>4020.15025566113</v>
      </c>
      <c r="AS24" t="str">
        <f t="shared" si="20"/>
        <v>D4</v>
      </c>
      <c r="AT24" s="8">
        <f ca="1" t="shared" si="21"/>
        <v>-0.00100000000020373</v>
      </c>
      <c r="AV24">
        <f ca="1" t="shared" si="23"/>
        <v>4020.15025566113</v>
      </c>
      <c r="AX24" t="e">
        <f ca="1">MATCH(AN24,Calcs!$BA$3:$BA$30,0)</f>
        <v>#N/A</v>
      </c>
      <c r="AY24" t="e">
        <f ca="1">OFFSET(Calcs!$AZ$2,Input_Output!AX24,0)</f>
        <v>#N/A</v>
      </c>
      <c r="AZ24" t="e">
        <f ca="1">OFFSET(Calcs!$BI$2,Input_Output!AX24,0)</f>
        <v>#N/A</v>
      </c>
      <c r="BA24" t="e">
        <f ca="1">OFFSET(Calcs!$BN$2,Input_Output!AX24,0)</f>
        <v>#N/A</v>
      </c>
      <c r="BB24" t="e">
        <f ca="1">OFFSET(Calcs!$BS$2,Input_Output!AX24,0)</f>
        <v>#N/A</v>
      </c>
    </row>
    <row r="25" spans="1:54">
      <c r="A25" s="79" t="s">
        <v>103</v>
      </c>
      <c r="B25" s="52">
        <v>0.15</v>
      </c>
      <c r="C25" s="79" t="s">
        <v>37</v>
      </c>
      <c r="K25" s="4">
        <v>15</v>
      </c>
      <c r="L25" s="4">
        <f t="shared" si="8"/>
        <v>1875</v>
      </c>
      <c r="M25" s="21" t="e">
        <f ca="1">VLOOKUP(K25,Calcs!$Q$3:$T$30,4)</f>
        <v>#DIV/0!</v>
      </c>
      <c r="N25" s="21" t="e">
        <f ca="1" t="shared" si="24"/>
        <v>#DIV/0!</v>
      </c>
      <c r="O25" s="6" t="e">
        <f ca="1">AVERAGE(OFFSET(Calcs!$K$3,AE25,0):OFFSET(Calcs!$K$3,Input_Output!AF25-1,0))</f>
        <v>#DIV/0!</v>
      </c>
      <c r="P25" t="e">
        <f ca="1" t="shared" si="9"/>
        <v>#DIV/0!</v>
      </c>
      <c r="Q25" s="6" t="e">
        <f ca="1" t="shared" si="10"/>
        <v>#DIV/0!</v>
      </c>
      <c r="Y25" s="8" t="e">
        <f ca="1" t="shared" si="11"/>
        <v>#DIV/0!</v>
      </c>
      <c r="Z25" s="8" t="e">
        <f ca="1" t="shared" si="12"/>
        <v>#DIV/0!</v>
      </c>
      <c r="AA25" s="8" t="e">
        <f ca="1" t="shared" si="13"/>
        <v>#DIV/0!</v>
      </c>
      <c r="AB25" s="8" t="e">
        <f ca="1" t="shared" si="14"/>
        <v>#DIV/0!</v>
      </c>
      <c r="AC25" s="8" t="e">
        <f ca="1" t="shared" si="15"/>
        <v>#DIV/0!</v>
      </c>
      <c r="AE25">
        <f ca="1" t="shared" si="22"/>
        <v>24</v>
      </c>
      <c r="AF25">
        <f ca="1">MATCH(K25,Calcs!$S$3:$S$30,0)</f>
        <v>24</v>
      </c>
      <c r="AH25" s="4">
        <v>15</v>
      </c>
      <c r="AI25" s="4">
        <f t="shared" si="16"/>
        <v>1884.44543234116</v>
      </c>
      <c r="AJ25" t="e">
        <f ca="1">OFFSET(Calcs!$D$3,Input_Output!AF25,0)</f>
        <v>#DIV/0!</v>
      </c>
      <c r="AK25" t="e">
        <f ca="1">OFFSET(Calcs!$AZ$3,Input_Output!AF25,0)</f>
        <v>#DIV/0!</v>
      </c>
      <c r="AL25" s="4" t="str">
        <f>$A$32</f>
        <v>D</v>
      </c>
      <c r="AM25" s="4">
        <v>4</v>
      </c>
      <c r="AN25" s="4" t="str">
        <f t="shared" si="6"/>
        <v>D4</v>
      </c>
      <c r="AO25" s="4">
        <f t="shared" si="17"/>
        <v>3</v>
      </c>
      <c r="AP25" s="4">
        <f t="shared" si="25"/>
        <v>4</v>
      </c>
      <c r="AQ25" s="98">
        <f ca="1" t="shared" si="19"/>
        <v>4020.15125566113</v>
      </c>
      <c r="AR25">
        <f ca="1" t="shared" si="7"/>
        <v>4020.15025566113</v>
      </c>
      <c r="AS25" t="str">
        <f t="shared" si="20"/>
        <v>B4</v>
      </c>
      <c r="AT25" s="8">
        <f ca="1" t="shared" si="21"/>
        <v>-0.00100000000020373</v>
      </c>
      <c r="AV25">
        <f ca="1" t="shared" si="23"/>
        <v>4020.15025566113</v>
      </c>
      <c r="AX25" t="e">
        <f ca="1">MATCH(AN25,Calcs!$BA$3:$BA$30,0)</f>
        <v>#N/A</v>
      </c>
      <c r="AY25" t="e">
        <f ca="1">OFFSET(Calcs!$AZ$2,Input_Output!AX25,0)</f>
        <v>#N/A</v>
      </c>
      <c r="AZ25" t="e">
        <f ca="1">OFFSET(Calcs!$BI$2,Input_Output!AX25,0)</f>
        <v>#N/A</v>
      </c>
      <c r="BA25" t="e">
        <f ca="1">OFFSET(Calcs!$BN$2,Input_Output!AX25,0)</f>
        <v>#N/A</v>
      </c>
      <c r="BB25" t="e">
        <f ca="1">OFFSET(Calcs!$BS$2,Input_Output!AX25,0)</f>
        <v>#N/A</v>
      </c>
    </row>
    <row r="26" spans="1:54">
      <c r="A26" s="79" t="s">
        <v>104</v>
      </c>
      <c r="B26" s="52" t="b">
        <v>0</v>
      </c>
      <c r="C26" s="79" t="s">
        <v>105</v>
      </c>
      <c r="K26" s="4">
        <v>16</v>
      </c>
      <c r="L26" s="4">
        <f t="shared" si="8"/>
        <v>2000</v>
      </c>
      <c r="M26" s="21" t="e">
        <f ca="1">VLOOKUP(K26,Calcs!$Q$3:$T$30,4)</f>
        <v>#DIV/0!</v>
      </c>
      <c r="N26" s="21" t="e">
        <f ca="1" t="shared" si="24"/>
        <v>#DIV/0!</v>
      </c>
      <c r="O26" s="6" t="e">
        <f ca="1">AVERAGE(OFFSET(Calcs!$K$3,AE26,0):OFFSET(Calcs!$K$3,Input_Output!AF26-1,0))</f>
        <v>#DIV/0!</v>
      </c>
      <c r="P26" t="e">
        <f ca="1" t="shared" si="9"/>
        <v>#DIV/0!</v>
      </c>
      <c r="Q26" s="6" t="e">
        <f ca="1" t="shared" si="10"/>
        <v>#DIV/0!</v>
      </c>
      <c r="Y26" s="8" t="e">
        <f ca="1" t="shared" si="11"/>
        <v>#DIV/0!</v>
      </c>
      <c r="Z26" s="8" t="e">
        <f ca="1" t="shared" si="12"/>
        <v>#DIV/0!</v>
      </c>
      <c r="AA26" s="8" t="e">
        <f ca="1" t="shared" si="13"/>
        <v>#DIV/0!</v>
      </c>
      <c r="AB26" s="8" t="e">
        <f ca="1" t="shared" si="14"/>
        <v>#DIV/0!</v>
      </c>
      <c r="AC26" s="8" t="e">
        <f ca="1" t="shared" si="15"/>
        <v>#DIV/0!</v>
      </c>
      <c r="AE26">
        <f ca="1" t="shared" si="22"/>
        <v>25</v>
      </c>
      <c r="AF26">
        <f ca="1">MATCH(K26,Calcs!$S$3:$S$30,0)</f>
        <v>25</v>
      </c>
      <c r="AH26" s="4">
        <v>16</v>
      </c>
      <c r="AI26" s="4">
        <f t="shared" si="16"/>
        <v>2010.07512783057</v>
      </c>
      <c r="AJ26" t="e">
        <f ca="1">OFFSET(Calcs!$D$3,Input_Output!AF26,0)</f>
        <v>#DIV/0!</v>
      </c>
      <c r="AK26" t="e">
        <f ca="1">OFFSET(Calcs!$AZ$3,Input_Output!AF26,0)</f>
        <v>#DIV/0!</v>
      </c>
      <c r="AL26" s="4" t="str">
        <f>$A$33</f>
        <v>B</v>
      </c>
      <c r="AM26" s="4">
        <v>4</v>
      </c>
      <c r="AN26" s="4" t="str">
        <f t="shared" si="6"/>
        <v>B4</v>
      </c>
      <c r="AO26" s="4">
        <f t="shared" si="17"/>
        <v>4</v>
      </c>
      <c r="AP26" s="4">
        <f t="shared" si="25"/>
        <v>4</v>
      </c>
      <c r="AQ26" s="98">
        <f ca="1" t="shared" si="19"/>
        <v>4020.15125566113</v>
      </c>
      <c r="AR26">
        <f ca="1" t="shared" si="7"/>
        <v>4020.15025566113</v>
      </c>
      <c r="AS26" t="str">
        <f t="shared" si="20"/>
        <v>A5</v>
      </c>
      <c r="AT26" s="8">
        <f ca="1" t="shared" si="21"/>
        <v>-0.00100000000020373</v>
      </c>
      <c r="AV26">
        <f ca="1" t="shared" si="23"/>
        <v>4020.15025566113</v>
      </c>
      <c r="AX26" t="e">
        <f ca="1">MATCH(AN26,Calcs!$BA$3:$BA$30,0)</f>
        <v>#N/A</v>
      </c>
      <c r="AY26" t="e">
        <f ca="1">OFFSET(Calcs!$AZ$2,Input_Output!AX26,0)</f>
        <v>#N/A</v>
      </c>
      <c r="AZ26" t="e">
        <f ca="1">OFFSET(Calcs!$BI$2,Input_Output!AX26,0)</f>
        <v>#N/A</v>
      </c>
      <c r="BA26" t="e">
        <f ca="1">OFFSET(Calcs!$BN$2,Input_Output!AX26,0)</f>
        <v>#N/A</v>
      </c>
      <c r="BB26" t="e">
        <f ca="1">OFFSET(Calcs!$BS$2,Input_Output!AX26,0)</f>
        <v>#N/A</v>
      </c>
    </row>
    <row r="27" spans="1:54">
      <c r="A27" s="79" t="s">
        <v>106</v>
      </c>
      <c r="B27" s="52">
        <v>1</v>
      </c>
      <c r="C27" t="s">
        <v>107</v>
      </c>
      <c r="K27" s="4">
        <v>17</v>
      </c>
      <c r="L27" s="4">
        <f t="shared" si="8"/>
        <v>2125</v>
      </c>
      <c r="M27" s="21" t="e">
        <f ca="1">VLOOKUP(K27,Calcs!$Q$3:$T$30,4)</f>
        <v>#DIV/0!</v>
      </c>
      <c r="N27" s="21" t="e">
        <f ca="1" t="shared" si="24"/>
        <v>#DIV/0!</v>
      </c>
      <c r="O27" s="6" t="e">
        <f ca="1">AVERAGE(OFFSET(Calcs!$K$3,AE27,0):OFFSET(Calcs!$K$3,Input_Output!AF27-1,0))</f>
        <v>#DIV/0!</v>
      </c>
      <c r="P27" t="e">
        <f ca="1" t="shared" si="9"/>
        <v>#DIV/0!</v>
      </c>
      <c r="Q27" s="6" t="e">
        <f ca="1" t="shared" si="10"/>
        <v>#DIV/0!</v>
      </c>
      <c r="Y27" s="8" t="e">
        <f ca="1" t="shared" si="11"/>
        <v>#DIV/0!</v>
      </c>
      <c r="Z27" s="8" t="e">
        <f ca="1" t="shared" si="12"/>
        <v>#DIV/0!</v>
      </c>
      <c r="AA27" s="8" t="e">
        <f ca="1" t="shared" si="13"/>
        <v>#DIV/0!</v>
      </c>
      <c r="AB27" s="8" t="e">
        <f ca="1" t="shared" si="14"/>
        <v>#DIV/0!</v>
      </c>
      <c r="AC27" s="8" t="e">
        <f ca="1" t="shared" si="15"/>
        <v>#DIV/0!</v>
      </c>
      <c r="AE27">
        <f ca="1" t="shared" si="22"/>
        <v>26</v>
      </c>
      <c r="AF27">
        <f ca="1">MATCH(K27,Calcs!$S$3:$S$30,0)</f>
        <v>26</v>
      </c>
      <c r="AH27" s="4">
        <v>17</v>
      </c>
      <c r="AI27" s="4">
        <f t="shared" si="16"/>
        <v>2135.70482331998</v>
      </c>
      <c r="AJ27" t="e">
        <f ca="1">OFFSET(Calcs!$D$3,Input_Output!AF27,0)</f>
        <v>#DIV/0!</v>
      </c>
      <c r="AK27" t="e">
        <f ca="1">OFFSET(Calcs!$AZ$3,Input_Output!AF27,0)</f>
        <v>#DIV/0!</v>
      </c>
      <c r="AL27" s="4" t="str">
        <f>$A$30</f>
        <v>A</v>
      </c>
      <c r="AM27" s="4">
        <v>5</v>
      </c>
      <c r="AN27" s="4" t="str">
        <f t="shared" si="6"/>
        <v>A5</v>
      </c>
      <c r="AO27" s="4">
        <f t="shared" si="17"/>
        <v>1</v>
      </c>
      <c r="AP27" s="4">
        <f t="shared" si="25"/>
        <v>5</v>
      </c>
      <c r="AQ27" s="98">
        <f ca="1" t="shared" si="19"/>
        <v>4020.15125566113</v>
      </c>
      <c r="AR27">
        <f ca="1" t="shared" si="7"/>
        <v>4020.15025566113</v>
      </c>
      <c r="AS27" t="str">
        <f t="shared" si="20"/>
        <v>E5</v>
      </c>
      <c r="AT27" s="8">
        <f ca="1" t="shared" si="21"/>
        <v>-0.00100000000020373</v>
      </c>
      <c r="AV27">
        <f ca="1" t="shared" si="23"/>
        <v>4020.15025566113</v>
      </c>
      <c r="AX27" t="e">
        <f ca="1">MATCH(AN27,Calcs!$BA$3:$BA$30,0)</f>
        <v>#N/A</v>
      </c>
      <c r="AY27" t="e">
        <f ca="1">OFFSET(Calcs!$AZ$2,Input_Output!AX27,0)</f>
        <v>#N/A</v>
      </c>
      <c r="AZ27" t="e">
        <f ca="1">OFFSET(Calcs!$BI$2,Input_Output!AX27,0)</f>
        <v>#N/A</v>
      </c>
      <c r="BA27" t="e">
        <f ca="1">OFFSET(Calcs!$BN$2,Input_Output!AX27,0)</f>
        <v>#N/A</v>
      </c>
      <c r="BB27" t="e">
        <f ca="1">OFFSET(Calcs!$BS$2,Input_Output!AX27,0)</f>
        <v>#N/A</v>
      </c>
    </row>
    <row r="28" spans="1:54">
      <c r="A28" s="81" t="s">
        <v>108</v>
      </c>
      <c r="K28" s="4">
        <v>18</v>
      </c>
      <c r="L28" s="4">
        <f t="shared" si="8"/>
        <v>2250</v>
      </c>
      <c r="M28" s="21" t="e">
        <f ca="1">VLOOKUP(K28,Calcs!$Q$3:$T$30,4)</f>
        <v>#DIV/0!</v>
      </c>
      <c r="N28" s="21" t="e">
        <f ca="1" t="shared" si="24"/>
        <v>#DIV/0!</v>
      </c>
      <c r="O28" s="6" t="e">
        <f ca="1">AVERAGE(OFFSET(Calcs!$K$3,AE28,0):OFFSET(Calcs!$K$3,Input_Output!AF28-1,0))</f>
        <v>#DIV/0!</v>
      </c>
      <c r="P28" t="e">
        <f ca="1" t="shared" si="9"/>
        <v>#DIV/0!</v>
      </c>
      <c r="Q28" s="6" t="e">
        <f ca="1" t="shared" si="10"/>
        <v>#DIV/0!</v>
      </c>
      <c r="Y28" s="8" t="e">
        <f ca="1" t="shared" si="11"/>
        <v>#DIV/0!</v>
      </c>
      <c r="Z28" s="8" t="e">
        <f ca="1" t="shared" si="12"/>
        <v>#DIV/0!</v>
      </c>
      <c r="AA28" s="8" t="e">
        <f ca="1" t="shared" si="13"/>
        <v>#DIV/0!</v>
      </c>
      <c r="AB28" s="8" t="e">
        <f ca="1" t="shared" si="14"/>
        <v>#DIV/0!</v>
      </c>
      <c r="AC28" s="8" t="e">
        <f ca="1" t="shared" si="15"/>
        <v>#DIV/0!</v>
      </c>
      <c r="AE28">
        <f ca="1" t="shared" si="22"/>
        <v>27</v>
      </c>
      <c r="AF28">
        <f ca="1">MATCH(K28,Calcs!$S$3:$S$30,0)</f>
        <v>27</v>
      </c>
      <c r="AH28" s="4">
        <v>18</v>
      </c>
      <c r="AI28" s="4">
        <f t="shared" si="16"/>
        <v>2261.33451880939</v>
      </c>
      <c r="AJ28" t="e">
        <f ca="1">OFFSET(Calcs!$D$3,Input_Output!AF28,0)</f>
        <v>#DIV/0!</v>
      </c>
      <c r="AK28" t="e">
        <f ca="1">OFFSET(Calcs!$AZ$3,Input_Output!AF28,0)</f>
        <v>#DIV/0!</v>
      </c>
      <c r="AL28" s="4" t="str">
        <f>$A$31</f>
        <v>E</v>
      </c>
      <c r="AM28" s="4">
        <v>5</v>
      </c>
      <c r="AN28" s="4" t="str">
        <f t="shared" si="6"/>
        <v>E5</v>
      </c>
      <c r="AO28" s="4">
        <f t="shared" si="17"/>
        <v>2</v>
      </c>
      <c r="AP28" s="4">
        <f t="shared" si="25"/>
        <v>5</v>
      </c>
      <c r="AQ28" s="98">
        <f ca="1" t="shared" si="19"/>
        <v>4020.15125566113</v>
      </c>
      <c r="AR28">
        <f ca="1" t="shared" si="7"/>
        <v>4020.15025566113</v>
      </c>
      <c r="AS28" t="str">
        <f t="shared" si="20"/>
        <v>D5</v>
      </c>
      <c r="AT28" s="8">
        <f ca="1" t="shared" si="21"/>
        <v>-0.00100000000020373</v>
      </c>
      <c r="AV28">
        <f ca="1" t="shared" si="23"/>
        <v>4020.15025566113</v>
      </c>
      <c r="AX28" t="e">
        <f ca="1">MATCH(AN28,Calcs!$BA$3:$BA$30,0)</f>
        <v>#N/A</v>
      </c>
      <c r="AY28" t="e">
        <f ca="1">OFFSET(Calcs!$AZ$2,Input_Output!AX28,0)</f>
        <v>#N/A</v>
      </c>
      <c r="AZ28" t="e">
        <f ca="1">OFFSET(Calcs!$BI$2,Input_Output!AX28,0)</f>
        <v>#N/A</v>
      </c>
      <c r="BA28" t="e">
        <f ca="1">OFFSET(Calcs!$BN$2,Input_Output!AX28,0)</f>
        <v>#N/A</v>
      </c>
      <c r="BB28" t="e">
        <f ca="1">OFFSET(Calcs!$BS$2,Input_Output!AX28,0)</f>
        <v>#N/A</v>
      </c>
    </row>
    <row r="29" spans="2:54">
      <c r="B29" s="82" t="s">
        <v>109</v>
      </c>
      <c r="C29" s="82" t="s">
        <v>110</v>
      </c>
      <c r="D29" s="82" t="s">
        <v>111</v>
      </c>
      <c r="E29" s="82" t="s">
        <v>112</v>
      </c>
      <c r="F29" s="82" t="s">
        <v>113</v>
      </c>
      <c r="H29" s="82"/>
      <c r="K29" s="4">
        <v>19</v>
      </c>
      <c r="L29" s="4">
        <f t="shared" si="8"/>
        <v>2375</v>
      </c>
      <c r="M29" s="21" t="e">
        <f ca="1">VLOOKUP(K29,Calcs!$Q$3:$T$30,4)</f>
        <v>#REF!</v>
      </c>
      <c r="N29" s="21" t="e">
        <f ca="1" t="shared" si="24"/>
        <v>#REF!</v>
      </c>
      <c r="O29" s="6" t="e">
        <f ca="1">AVERAGE(OFFSET(Calcs!$K$3,AE29,0):OFFSET(Calcs!$K$3,Input_Output!AF29-1,0))</f>
        <v>#N/A</v>
      </c>
      <c r="P29" t="e">
        <f ca="1" t="shared" si="9"/>
        <v>#N/A</v>
      </c>
      <c r="Q29" s="6" t="e">
        <f ca="1" t="shared" si="10"/>
        <v>#N/A</v>
      </c>
      <c r="Y29" s="8" t="e">
        <f ca="1" t="shared" si="11"/>
        <v>#N/A</v>
      </c>
      <c r="Z29" s="8" t="e">
        <f ca="1" t="shared" si="12"/>
        <v>#N/A</v>
      </c>
      <c r="AA29" s="8" t="e">
        <f ca="1" t="shared" si="13"/>
        <v>#N/A</v>
      </c>
      <c r="AB29" s="8" t="e">
        <f ca="1" t="shared" si="14"/>
        <v>#N/A</v>
      </c>
      <c r="AC29" s="8" t="e">
        <f ca="1" t="shared" si="15"/>
        <v>#N/A</v>
      </c>
      <c r="AE29">
        <f ca="1" t="shared" si="22"/>
        <v>28</v>
      </c>
      <c r="AF29" t="e">
        <f ca="1">MATCH(K29,Calcs!$S$3:$S$30,0)</f>
        <v>#N/A</v>
      </c>
      <c r="AH29" s="4">
        <v>19</v>
      </c>
      <c r="AI29" s="4">
        <f t="shared" si="16"/>
        <v>2386.9642142988</v>
      </c>
      <c r="AJ29" t="e">
        <f ca="1">OFFSET(Calcs!$D$3,Input_Output!AF29,0)</f>
        <v>#N/A</v>
      </c>
      <c r="AK29" t="e">
        <f ca="1">OFFSET(Calcs!$AZ$3,Input_Output!AF29,0)</f>
        <v>#N/A</v>
      </c>
      <c r="AL29" s="4" t="str">
        <f>$A$32</f>
        <v>D</v>
      </c>
      <c r="AM29" s="4">
        <v>5</v>
      </c>
      <c r="AN29" s="4" t="str">
        <f t="shared" si="6"/>
        <v>D5</v>
      </c>
      <c r="AO29" s="4">
        <f t="shared" si="17"/>
        <v>3</v>
      </c>
      <c r="AP29" s="4">
        <f t="shared" si="25"/>
        <v>5</v>
      </c>
      <c r="AQ29" s="98">
        <f ca="1" t="shared" si="19"/>
        <v>4020.15125566113</v>
      </c>
      <c r="AR29">
        <f ca="1" t="shared" si="7"/>
        <v>4020.15025566113</v>
      </c>
      <c r="AS29" t="str">
        <f t="shared" si="20"/>
        <v>B5</v>
      </c>
      <c r="AT29" s="8">
        <f ca="1" t="shared" si="21"/>
        <v>-0.00100000000020373</v>
      </c>
      <c r="AV29">
        <f ca="1" t="shared" si="23"/>
        <v>4020.15025566113</v>
      </c>
      <c r="AX29" t="e">
        <f ca="1">MATCH(AN29,Calcs!$BA$3:$BA$30,0)</f>
        <v>#N/A</v>
      </c>
      <c r="AY29" t="e">
        <f ca="1">OFFSET(Calcs!$AZ$2,Input_Output!AX29,0)</f>
        <v>#N/A</v>
      </c>
      <c r="AZ29" t="e">
        <f ca="1">OFFSET(Calcs!$BI$2,Input_Output!AX29,0)</f>
        <v>#N/A</v>
      </c>
      <c r="BA29" t="e">
        <f ca="1">OFFSET(Calcs!$BN$2,Input_Output!AX29,0)</f>
        <v>#N/A</v>
      </c>
      <c r="BB29" t="e">
        <f ca="1">OFFSET(Calcs!$BS$2,Input_Output!AX29,0)</f>
        <v>#N/A</v>
      </c>
    </row>
    <row r="30" spans="1:54">
      <c r="A30" s="82" t="str">
        <f>B2</f>
        <v>A</v>
      </c>
      <c r="B30" s="52">
        <v>2.25</v>
      </c>
      <c r="C30" s="52">
        <v>1</v>
      </c>
      <c r="D30" s="52"/>
      <c r="E30" s="83"/>
      <c r="F30" s="83"/>
      <c r="I30" s="1"/>
      <c r="K30" s="4">
        <v>20</v>
      </c>
      <c r="L30" s="4">
        <f t="shared" si="8"/>
        <v>2500</v>
      </c>
      <c r="M30" s="21" t="e">
        <f ca="1">VLOOKUP(K30,Calcs!$Q$3:$T$30,4)</f>
        <v>#REF!</v>
      </c>
      <c r="N30" s="21" t="e">
        <f ca="1" t="shared" si="24"/>
        <v>#REF!</v>
      </c>
      <c r="O30" s="6" t="e">
        <f ca="1">AVERAGE(OFFSET(Calcs!$K$3,AE30,0):OFFSET(Calcs!$K$3,Input_Output!AF30-1,0))</f>
        <v>#N/A</v>
      </c>
      <c r="P30" t="e">
        <f ca="1" t="shared" si="9"/>
        <v>#N/A</v>
      </c>
      <c r="Q30" s="6" t="e">
        <f ca="1" t="shared" si="10"/>
        <v>#N/A</v>
      </c>
      <c r="Y30" s="8" t="e">
        <f ca="1" t="shared" si="11"/>
        <v>#N/A</v>
      </c>
      <c r="Z30" s="8" t="e">
        <f ca="1" t="shared" si="12"/>
        <v>#N/A</v>
      </c>
      <c r="AA30" s="8" t="e">
        <f ca="1" t="shared" si="13"/>
        <v>#N/A</v>
      </c>
      <c r="AB30" s="8" t="e">
        <f ca="1" t="shared" si="14"/>
        <v>#N/A</v>
      </c>
      <c r="AC30" s="8" t="e">
        <f ca="1" t="shared" si="15"/>
        <v>#N/A</v>
      </c>
      <c r="AE30" t="e">
        <f ca="1" t="shared" si="22"/>
        <v>#N/A</v>
      </c>
      <c r="AF30" t="e">
        <f ca="1">MATCH(K30,Calcs!$S$3:$S$30,0)</f>
        <v>#N/A</v>
      </c>
      <c r="AH30" s="4">
        <v>20</v>
      </c>
      <c r="AI30" s="4">
        <f t="shared" si="16"/>
        <v>2512.59390978821</v>
      </c>
      <c r="AJ30" t="e">
        <f ca="1">OFFSET(Calcs!$D$3,Input_Output!AF30,0)</f>
        <v>#N/A</v>
      </c>
      <c r="AK30" t="e">
        <f ca="1">OFFSET(Calcs!$AZ$3,Input_Output!AF30,0)</f>
        <v>#N/A</v>
      </c>
      <c r="AL30" s="4" t="str">
        <f>$A$33</f>
        <v>B</v>
      </c>
      <c r="AM30" s="4">
        <v>5</v>
      </c>
      <c r="AN30" s="4" t="str">
        <f t="shared" si="6"/>
        <v>B5</v>
      </c>
      <c r="AO30" s="4">
        <f t="shared" si="17"/>
        <v>4</v>
      </c>
      <c r="AP30" s="4">
        <f t="shared" si="25"/>
        <v>5</v>
      </c>
      <c r="AQ30" s="98">
        <f ca="1" t="shared" si="19"/>
        <v>4020.15125566113</v>
      </c>
      <c r="AR30">
        <f ca="1" t="shared" si="7"/>
        <v>4020.15025566113</v>
      </c>
      <c r="AS30">
        <f>C93</f>
        <v>0</v>
      </c>
      <c r="AT30" s="8">
        <f ca="1" t="shared" si="21"/>
        <v>-0.00100000000020373</v>
      </c>
      <c r="AV30">
        <f ca="1" t="shared" si="23"/>
        <v>4020.15025566113</v>
      </c>
      <c r="AX30" t="e">
        <f ca="1">MATCH(AN30,Calcs!$BA$3:$BA$30,0)</f>
        <v>#N/A</v>
      </c>
      <c r="AY30" t="e">
        <f ca="1">OFFSET(Calcs!$AZ$2,Input_Output!AX30,0)</f>
        <v>#N/A</v>
      </c>
      <c r="AZ30" t="e">
        <f ca="1">OFFSET(Calcs!$BI$2,Input_Output!AX30,0)</f>
        <v>#N/A</v>
      </c>
      <c r="BA30" t="e">
        <f ca="1">OFFSET(Calcs!$BN$2,Input_Output!AX30,0)</f>
        <v>#N/A</v>
      </c>
      <c r="BB30" t="e">
        <f ca="1">OFFSET(Calcs!$BS$2,Input_Output!AX30,0)</f>
        <v>#N/A</v>
      </c>
    </row>
    <row r="31" spans="1:37">
      <c r="A31" s="82" t="str">
        <f>B3</f>
        <v>E</v>
      </c>
      <c r="B31" s="52">
        <v>2</v>
      </c>
      <c r="C31" s="52">
        <v>2</v>
      </c>
      <c r="D31" s="52"/>
      <c r="E31" s="83"/>
      <c r="F31" s="83"/>
      <c r="I31" s="1"/>
      <c r="K31" s="4">
        <v>21</v>
      </c>
      <c r="L31" s="4">
        <f t="shared" si="8"/>
        <v>2625</v>
      </c>
      <c r="M31" s="21" t="e">
        <f ca="1">VLOOKUP(K31,Calcs!$Q$3:$T$30,4)</f>
        <v>#REF!</v>
      </c>
      <c r="N31" s="21" t="e">
        <f ca="1" t="shared" si="24"/>
        <v>#REF!</v>
      </c>
      <c r="O31" s="6" t="e">
        <f ca="1">AVERAGE(OFFSET(Calcs!$K$3,AE31,0):OFFSET(Calcs!$K$3,Input_Output!AF31-1,0))</f>
        <v>#N/A</v>
      </c>
      <c r="P31" t="e">
        <f ca="1" t="shared" si="9"/>
        <v>#N/A</v>
      </c>
      <c r="Q31" s="6" t="e">
        <f ca="1" t="shared" si="10"/>
        <v>#N/A</v>
      </c>
      <c r="Y31" s="8" t="e">
        <f ca="1" t="shared" si="11"/>
        <v>#N/A</v>
      </c>
      <c r="Z31" s="8" t="e">
        <f ca="1" t="shared" si="12"/>
        <v>#N/A</v>
      </c>
      <c r="AA31" s="8" t="e">
        <f ca="1" t="shared" si="13"/>
        <v>#N/A</v>
      </c>
      <c r="AB31" s="8" t="e">
        <f ca="1" t="shared" si="14"/>
        <v>#N/A</v>
      </c>
      <c r="AC31" s="8" t="e">
        <f ca="1" t="shared" si="15"/>
        <v>#N/A</v>
      </c>
      <c r="AE31" t="e">
        <f ca="1" t="shared" si="22"/>
        <v>#N/A</v>
      </c>
      <c r="AF31" t="e">
        <f ca="1">MATCH(K31,Calcs!$S$3:$S$30,0)</f>
        <v>#N/A</v>
      </c>
      <c r="AH31" s="4">
        <v>21</v>
      </c>
      <c r="AI31" s="4">
        <f t="shared" si="16"/>
        <v>2638.22360527762</v>
      </c>
      <c r="AJ31" t="e">
        <f ca="1">OFFSET(Calcs!$D$3,Input_Output!AF31,0)</f>
        <v>#N/A</v>
      </c>
      <c r="AK31" t="e">
        <f ca="1">OFFSET(Calcs!$AZ$3,Input_Output!AF31,0)</f>
        <v>#N/A</v>
      </c>
    </row>
    <row r="32" spans="1:37">
      <c r="A32" s="82" t="str">
        <f>B4</f>
        <v>D</v>
      </c>
      <c r="B32" s="52">
        <v>2</v>
      </c>
      <c r="C32" s="52">
        <v>2.5</v>
      </c>
      <c r="D32" s="52"/>
      <c r="E32" s="83"/>
      <c r="F32" s="83"/>
      <c r="K32" s="4">
        <v>22</v>
      </c>
      <c r="L32" s="4">
        <f t="shared" si="8"/>
        <v>2750</v>
      </c>
      <c r="M32" s="21" t="e">
        <f ca="1">VLOOKUP(K32,Calcs!$Q$3:$T$30,4)</f>
        <v>#REF!</v>
      </c>
      <c r="N32" s="21" t="e">
        <f ca="1" t="shared" si="24"/>
        <v>#REF!</v>
      </c>
      <c r="O32" s="6" t="e">
        <f ca="1">AVERAGE(OFFSET(Calcs!$K$3,AE32,0):OFFSET(Calcs!$K$3,Input_Output!AF32-1,0))</f>
        <v>#N/A</v>
      </c>
      <c r="P32" t="e">
        <f ca="1" t="shared" si="9"/>
        <v>#N/A</v>
      </c>
      <c r="Q32" s="6" t="e">
        <f ca="1" t="shared" si="10"/>
        <v>#N/A</v>
      </c>
      <c r="Y32" s="8" t="e">
        <f ca="1" t="shared" si="11"/>
        <v>#N/A</v>
      </c>
      <c r="Z32" s="8" t="e">
        <f ca="1" t="shared" si="12"/>
        <v>#N/A</v>
      </c>
      <c r="AA32" s="8" t="e">
        <f ca="1" t="shared" si="13"/>
        <v>#N/A</v>
      </c>
      <c r="AB32" s="8" t="e">
        <f ca="1" t="shared" si="14"/>
        <v>#N/A</v>
      </c>
      <c r="AC32" s="8" t="e">
        <f ca="1" t="shared" si="15"/>
        <v>#N/A</v>
      </c>
      <c r="AE32" t="e">
        <f ca="1" t="shared" si="22"/>
        <v>#N/A</v>
      </c>
      <c r="AF32" t="e">
        <f ca="1">MATCH(K32,Calcs!$S$3:$S$30,0)</f>
        <v>#N/A</v>
      </c>
      <c r="AH32" s="4">
        <v>22</v>
      </c>
      <c r="AI32" s="4">
        <f t="shared" si="16"/>
        <v>2763.85330076703</v>
      </c>
      <c r="AJ32" t="e">
        <f ca="1">OFFSET(Calcs!$D$3,Input_Output!AF32,0)</f>
        <v>#N/A</v>
      </c>
      <c r="AK32" t="e">
        <f ca="1">OFFSET(Calcs!$AZ$3,Input_Output!AF32,0)</f>
        <v>#N/A</v>
      </c>
    </row>
    <row r="33" ht="16.5" customHeight="1" spans="1:46">
      <c r="A33" s="82" t="str">
        <f>B5</f>
        <v>B</v>
      </c>
      <c r="B33" s="52">
        <v>2</v>
      </c>
      <c r="C33" s="52">
        <v>2.25</v>
      </c>
      <c r="D33" s="52"/>
      <c r="E33" s="83"/>
      <c r="F33" s="83"/>
      <c r="H33" t="s">
        <v>114</v>
      </c>
      <c r="I33" s="93">
        <f>SUM(B30:F33)</f>
        <v>16</v>
      </c>
      <c r="J33" t="s">
        <v>115</v>
      </c>
      <c r="K33" s="4">
        <v>23</v>
      </c>
      <c r="L33" s="4">
        <f t="shared" si="8"/>
        <v>2875</v>
      </c>
      <c r="M33" s="21" t="e">
        <f ca="1">VLOOKUP(K33,Calcs!$Q$3:$T$30,4)</f>
        <v>#REF!</v>
      </c>
      <c r="N33" s="21" t="e">
        <f ca="1" t="shared" si="24"/>
        <v>#REF!</v>
      </c>
      <c r="O33" s="6" t="e">
        <f ca="1">AVERAGE(OFFSET(Calcs!$K$3,AE33,0):OFFSET(Calcs!$K$3,Input_Output!AF33-1,0))</f>
        <v>#N/A</v>
      </c>
      <c r="P33" t="e">
        <f ca="1" t="shared" si="9"/>
        <v>#N/A</v>
      </c>
      <c r="Q33" s="6" t="e">
        <f ca="1" t="shared" si="10"/>
        <v>#N/A</v>
      </c>
      <c r="Y33" s="8" t="e">
        <f ca="1" t="shared" si="11"/>
        <v>#N/A</v>
      </c>
      <c r="Z33" s="8" t="e">
        <f ca="1" t="shared" si="12"/>
        <v>#N/A</v>
      </c>
      <c r="AA33" s="8" t="e">
        <f ca="1" t="shared" si="13"/>
        <v>#N/A</v>
      </c>
      <c r="AB33" s="8" t="e">
        <f ca="1" t="shared" si="14"/>
        <v>#N/A</v>
      </c>
      <c r="AC33" s="8" t="e">
        <f ca="1" t="shared" si="15"/>
        <v>#N/A</v>
      </c>
      <c r="AE33" t="e">
        <f ca="1" t="shared" si="22"/>
        <v>#N/A</v>
      </c>
      <c r="AF33" t="e">
        <f ca="1">MATCH(K33,Calcs!$S$3:$S$30,0)</f>
        <v>#N/A</v>
      </c>
      <c r="AH33" s="4">
        <v>23</v>
      </c>
      <c r="AI33" s="4">
        <f t="shared" si="16"/>
        <v>2889.48299625644</v>
      </c>
      <c r="AJ33" t="e">
        <f ca="1">OFFSET(Calcs!$D$3,Input_Output!AF33,0)</f>
        <v>#N/A</v>
      </c>
      <c r="AK33" t="e">
        <f ca="1">OFFSET(Calcs!$AZ$3,Input_Output!AF33,0)</f>
        <v>#N/A</v>
      </c>
      <c r="AT33" s="8">
        <f ca="1">SUM(AT11:AT30)</f>
        <v>4020.13125566113</v>
      </c>
    </row>
    <row r="34" spans="3:37">
      <c r="C34"/>
      <c r="D34"/>
      <c r="K34" s="4">
        <v>24</v>
      </c>
      <c r="L34" s="4">
        <f t="shared" si="8"/>
        <v>3000</v>
      </c>
      <c r="M34" s="21" t="e">
        <f ca="1">VLOOKUP(K34,Calcs!$Q$3:$T$30,4)</f>
        <v>#REF!</v>
      </c>
      <c r="N34" s="21" t="e">
        <f ca="1" t="shared" si="24"/>
        <v>#REF!</v>
      </c>
      <c r="O34" s="6" t="e">
        <f ca="1">AVERAGE(OFFSET(Calcs!$K$3,AE34,0):OFFSET(Calcs!$K$3,Input_Output!AF34-1,0))</f>
        <v>#N/A</v>
      </c>
      <c r="P34" t="e">
        <f ca="1" t="shared" si="9"/>
        <v>#N/A</v>
      </c>
      <c r="Q34" s="6" t="e">
        <f ca="1" t="shared" si="10"/>
        <v>#N/A</v>
      </c>
      <c r="Y34" s="8" t="e">
        <f ca="1" t="shared" si="11"/>
        <v>#N/A</v>
      </c>
      <c r="Z34" s="8" t="e">
        <f ca="1" t="shared" si="12"/>
        <v>#N/A</v>
      </c>
      <c r="AA34" s="8" t="e">
        <f ca="1" t="shared" si="13"/>
        <v>#N/A</v>
      </c>
      <c r="AB34" s="8" t="e">
        <f ca="1" t="shared" si="14"/>
        <v>#N/A</v>
      </c>
      <c r="AC34" s="8" t="e">
        <f ca="1" t="shared" si="15"/>
        <v>#N/A</v>
      </c>
      <c r="AE34" t="e">
        <f ca="1" t="shared" si="22"/>
        <v>#N/A</v>
      </c>
      <c r="AF34" t="e">
        <f ca="1">MATCH(K34,Calcs!$S$3:$S$30,0)</f>
        <v>#N/A</v>
      </c>
      <c r="AH34" s="4">
        <v>24</v>
      </c>
      <c r="AI34" s="4">
        <f t="shared" si="16"/>
        <v>3015.11269174585</v>
      </c>
      <c r="AJ34" t="e">
        <f ca="1">OFFSET(Calcs!$D$3,Input_Output!AF34,0)</f>
        <v>#N/A</v>
      </c>
      <c r="AK34" t="e">
        <f ca="1">OFFSET(Calcs!$AZ$3,Input_Output!AF34,0)</f>
        <v>#N/A</v>
      </c>
    </row>
    <row r="35" spans="1:37">
      <c r="A35" s="81" t="s">
        <v>116</v>
      </c>
      <c r="K35" s="4">
        <v>25</v>
      </c>
      <c r="L35" s="4">
        <f t="shared" si="8"/>
        <v>3125</v>
      </c>
      <c r="M35" s="21" t="e">
        <f ca="1">VLOOKUP(K35,Calcs!$Q$3:$T$30,4)</f>
        <v>#REF!</v>
      </c>
      <c r="N35" s="21" t="e">
        <f ca="1" t="shared" si="24"/>
        <v>#REF!</v>
      </c>
      <c r="O35" s="6" t="e">
        <f ca="1">AVERAGE(OFFSET(Calcs!$K$3,AE35,0):OFFSET(Calcs!$K$3,Input_Output!AF35-1,0))</f>
        <v>#N/A</v>
      </c>
      <c r="P35" t="e">
        <f ca="1" t="shared" si="9"/>
        <v>#N/A</v>
      </c>
      <c r="Q35" s="6" t="e">
        <f ca="1" t="shared" si="10"/>
        <v>#N/A</v>
      </c>
      <c r="Y35" s="8" t="e">
        <f ca="1" t="shared" si="11"/>
        <v>#N/A</v>
      </c>
      <c r="Z35" s="8" t="e">
        <f ca="1" t="shared" si="12"/>
        <v>#N/A</v>
      </c>
      <c r="AA35" s="8" t="e">
        <f ca="1" t="shared" si="13"/>
        <v>#N/A</v>
      </c>
      <c r="AB35" s="8" t="e">
        <f ca="1" t="shared" si="14"/>
        <v>#N/A</v>
      </c>
      <c r="AC35" s="8" t="e">
        <f ca="1" t="shared" si="15"/>
        <v>#N/A</v>
      </c>
      <c r="AE35" t="e">
        <f ca="1" t="shared" si="22"/>
        <v>#N/A</v>
      </c>
      <c r="AF35" t="e">
        <f ca="1">MATCH(K35,Calcs!$S$3:$S$30,0)</f>
        <v>#N/A</v>
      </c>
      <c r="AH35" s="4">
        <v>25</v>
      </c>
      <c r="AI35" s="4">
        <f t="shared" si="16"/>
        <v>3140.74238723526</v>
      </c>
      <c r="AJ35" t="e">
        <f ca="1">OFFSET(Calcs!$D$3,Input_Output!AF35,0)</f>
        <v>#N/A</v>
      </c>
      <c r="AK35" t="e">
        <f ca="1">OFFSET(Calcs!$AZ$3,Input_Output!AF35,0)</f>
        <v>#N/A</v>
      </c>
    </row>
    <row r="36" spans="1:37">
      <c r="A36" s="81"/>
      <c r="B36" s="4">
        <v>1</v>
      </c>
      <c r="C36" s="4">
        <v>2</v>
      </c>
      <c r="D36" s="4">
        <v>3</v>
      </c>
      <c r="E36" s="4">
        <v>4</v>
      </c>
      <c r="F36" s="4">
        <v>5</v>
      </c>
      <c r="K36" s="4">
        <v>26</v>
      </c>
      <c r="L36" s="4">
        <f t="shared" si="8"/>
        <v>3250</v>
      </c>
      <c r="M36" s="21" t="e">
        <f ca="1">VLOOKUP(K36,Calcs!$Q$3:$T$30,4)</f>
        <v>#REF!</v>
      </c>
      <c r="N36" s="21" t="e">
        <f ca="1" t="shared" si="24"/>
        <v>#REF!</v>
      </c>
      <c r="O36" s="6" t="e">
        <f ca="1">AVERAGE(OFFSET(Calcs!$K$3,AE36,0):OFFSET(Calcs!$K$3,Input_Output!AF36-1,0))</f>
        <v>#N/A</v>
      </c>
      <c r="P36" t="e">
        <f ca="1" t="shared" si="9"/>
        <v>#N/A</v>
      </c>
      <c r="Q36" s="6" t="e">
        <f ca="1" t="shared" si="10"/>
        <v>#N/A</v>
      </c>
      <c r="Y36" s="8" t="e">
        <f ca="1" t="shared" si="11"/>
        <v>#N/A</v>
      </c>
      <c r="Z36" s="8" t="e">
        <f ca="1" t="shared" si="12"/>
        <v>#N/A</v>
      </c>
      <c r="AA36" s="8" t="e">
        <f ca="1" t="shared" si="13"/>
        <v>#N/A</v>
      </c>
      <c r="AB36" s="8" t="e">
        <f ca="1" t="shared" si="14"/>
        <v>#N/A</v>
      </c>
      <c r="AC36" s="8" t="e">
        <f ca="1" t="shared" si="15"/>
        <v>#N/A</v>
      </c>
      <c r="AE36" t="e">
        <f ca="1" t="shared" si="22"/>
        <v>#N/A</v>
      </c>
      <c r="AF36" t="e">
        <f ca="1">MATCH(K36,Calcs!$S$3:$S$30,0)</f>
        <v>#N/A</v>
      </c>
      <c r="AH36" s="4">
        <v>26</v>
      </c>
      <c r="AI36" s="4">
        <f t="shared" si="16"/>
        <v>3266.37208272467</v>
      </c>
      <c r="AJ36" t="e">
        <f ca="1">OFFSET(Calcs!$D$3,Input_Output!AF36,0)</f>
        <v>#N/A</v>
      </c>
      <c r="AK36" t="e">
        <f ca="1">OFFSET(Calcs!$AZ$3,Input_Output!AF36,0)</f>
        <v>#N/A</v>
      </c>
    </row>
    <row r="37" spans="1:37">
      <c r="A37" s="4" t="str">
        <f>A30</f>
        <v>A</v>
      </c>
      <c r="B37" s="84">
        <f t="shared" ref="B37:F40" si="26">B30*250/track_dist_mult</f>
        <v>565.333629702347</v>
      </c>
      <c r="C37" s="84">
        <f t="shared" si="26"/>
        <v>251.259390978821</v>
      </c>
      <c r="D37" s="85">
        <f t="shared" si="26"/>
        <v>0</v>
      </c>
      <c r="E37" s="85">
        <f t="shared" si="26"/>
        <v>0</v>
      </c>
      <c r="F37" s="85">
        <f t="shared" si="26"/>
        <v>0</v>
      </c>
      <c r="K37" s="4">
        <v>27</v>
      </c>
      <c r="L37" s="4">
        <f t="shared" si="8"/>
        <v>3375</v>
      </c>
      <c r="M37" s="21" t="e">
        <f ca="1">VLOOKUP(K37,Calcs!$Q$3:$T$30,4)</f>
        <v>#REF!</v>
      </c>
      <c r="N37" s="21" t="e">
        <f ca="1" t="shared" si="24"/>
        <v>#REF!</v>
      </c>
      <c r="O37" s="6" t="e">
        <f ca="1">AVERAGE(OFFSET(Calcs!$K$3,AE37,0):OFFSET(Calcs!$K$3,Input_Output!AF37-1,0))</f>
        <v>#N/A</v>
      </c>
      <c r="P37" t="e">
        <f ca="1" t="shared" si="9"/>
        <v>#N/A</v>
      </c>
      <c r="Q37" s="6" t="e">
        <f ca="1" t="shared" si="10"/>
        <v>#N/A</v>
      </c>
      <c r="Y37" s="8" t="e">
        <f ca="1" t="shared" si="11"/>
        <v>#N/A</v>
      </c>
      <c r="Z37" s="8" t="e">
        <f ca="1" t="shared" si="12"/>
        <v>#N/A</v>
      </c>
      <c r="AA37" s="8" t="e">
        <f ca="1" t="shared" si="13"/>
        <v>#N/A</v>
      </c>
      <c r="AB37" s="8" t="e">
        <f ca="1" t="shared" si="14"/>
        <v>#N/A</v>
      </c>
      <c r="AC37" s="8" t="e">
        <f ca="1" t="shared" si="15"/>
        <v>#N/A</v>
      </c>
      <c r="AE37" t="e">
        <f ca="1" t="shared" si="22"/>
        <v>#N/A</v>
      </c>
      <c r="AF37" t="e">
        <f ca="1">MATCH(K37,Calcs!$S$3:$S$30,0)</f>
        <v>#N/A</v>
      </c>
      <c r="AH37" s="4">
        <v>27</v>
      </c>
      <c r="AI37" s="4">
        <f t="shared" si="16"/>
        <v>3392.00177821408</v>
      </c>
      <c r="AJ37" t="e">
        <f ca="1">OFFSET(Calcs!$D$3,Input_Output!AF37,0)</f>
        <v>#N/A</v>
      </c>
      <c r="AK37" t="e">
        <f ca="1">OFFSET(Calcs!$AZ$3,Input_Output!AF37,0)</f>
        <v>#N/A</v>
      </c>
    </row>
    <row r="38" spans="1:37">
      <c r="A38" s="4" t="str">
        <f>A31</f>
        <v>E</v>
      </c>
      <c r="B38" s="84">
        <f t="shared" si="26"/>
        <v>502.518781957642</v>
      </c>
      <c r="C38" s="84">
        <f t="shared" si="26"/>
        <v>502.518781957642</v>
      </c>
      <c r="D38" s="85">
        <f t="shared" si="26"/>
        <v>0</v>
      </c>
      <c r="E38" s="85">
        <f t="shared" si="26"/>
        <v>0</v>
      </c>
      <c r="F38" s="85">
        <f t="shared" si="26"/>
        <v>0</v>
      </c>
      <c r="K38" s="4">
        <v>28</v>
      </c>
      <c r="L38" s="4">
        <f t="shared" si="8"/>
        <v>3500</v>
      </c>
      <c r="M38" s="21" t="e">
        <f ca="1">VLOOKUP(K38,Calcs!$Q$3:$T$30,4)</f>
        <v>#REF!</v>
      </c>
      <c r="N38" s="21" t="e">
        <f ca="1" t="shared" si="24"/>
        <v>#REF!</v>
      </c>
      <c r="O38" s="6" t="e">
        <f ca="1">AVERAGE(OFFSET(Calcs!$K$3,AE38,0):OFFSET(Calcs!$K$3,Input_Output!AF38-1,0))</f>
        <v>#N/A</v>
      </c>
      <c r="P38" t="e">
        <f ca="1" t="shared" si="9"/>
        <v>#N/A</v>
      </c>
      <c r="Q38" s="6" t="e">
        <f ca="1" t="shared" si="10"/>
        <v>#N/A</v>
      </c>
      <c r="Y38" s="8" t="e">
        <f ca="1" t="shared" si="11"/>
        <v>#N/A</v>
      </c>
      <c r="Z38" s="8" t="e">
        <f ca="1" t="shared" si="12"/>
        <v>#N/A</v>
      </c>
      <c r="AA38" s="8" t="e">
        <f ca="1" t="shared" si="13"/>
        <v>#N/A</v>
      </c>
      <c r="AB38" s="8" t="e">
        <f ca="1" t="shared" si="14"/>
        <v>#N/A</v>
      </c>
      <c r="AC38" s="8" t="e">
        <f ca="1" t="shared" si="15"/>
        <v>#N/A</v>
      </c>
      <c r="AE38" t="e">
        <f ca="1" t="shared" si="22"/>
        <v>#N/A</v>
      </c>
      <c r="AF38" t="e">
        <f ca="1">MATCH(K38,Calcs!$S$3:$S$30,0)</f>
        <v>#N/A</v>
      </c>
      <c r="AH38" s="4">
        <v>28</v>
      </c>
      <c r="AI38" s="4">
        <f t="shared" si="16"/>
        <v>3517.63147370349</v>
      </c>
      <c r="AJ38" t="e">
        <f ca="1">OFFSET(Calcs!$D$3,Input_Output!AF38,0)</f>
        <v>#N/A</v>
      </c>
      <c r="AK38" t="e">
        <f ca="1">OFFSET(Calcs!$AZ$3,Input_Output!AF38,0)</f>
        <v>#N/A</v>
      </c>
    </row>
    <row r="39" spans="1:37">
      <c r="A39" s="4" t="str">
        <f>A32</f>
        <v>D</v>
      </c>
      <c r="B39" s="84">
        <f t="shared" si="26"/>
        <v>502.518781957642</v>
      </c>
      <c r="C39" s="84">
        <f t="shared" si="26"/>
        <v>628.148477447052</v>
      </c>
      <c r="D39" s="85">
        <f t="shared" si="26"/>
        <v>0</v>
      </c>
      <c r="E39" s="85">
        <f t="shared" si="26"/>
        <v>0</v>
      </c>
      <c r="F39" s="85">
        <f t="shared" si="26"/>
        <v>0</v>
      </c>
      <c r="K39" s="4">
        <v>29</v>
      </c>
      <c r="L39" s="4">
        <f t="shared" si="8"/>
        <v>3625</v>
      </c>
      <c r="M39" s="21" t="e">
        <f ca="1">VLOOKUP(K39,Calcs!$Q$3:$T$30,4)</f>
        <v>#REF!</v>
      </c>
      <c r="N39" s="21" t="e">
        <f ca="1" t="shared" si="24"/>
        <v>#REF!</v>
      </c>
      <c r="O39" s="6" t="e">
        <f ca="1">AVERAGE(OFFSET(Calcs!$K$3,AE39,0):OFFSET(Calcs!$K$3,Input_Output!AF39-1,0))</f>
        <v>#N/A</v>
      </c>
      <c r="P39" t="e">
        <f ca="1" t="shared" si="9"/>
        <v>#N/A</v>
      </c>
      <c r="Q39" s="6" t="e">
        <f ca="1" t="shared" si="10"/>
        <v>#N/A</v>
      </c>
      <c r="Y39" s="8" t="e">
        <f ca="1" t="shared" si="11"/>
        <v>#N/A</v>
      </c>
      <c r="Z39" s="8" t="e">
        <f ca="1" t="shared" si="12"/>
        <v>#N/A</v>
      </c>
      <c r="AA39" s="8" t="e">
        <f ca="1" t="shared" si="13"/>
        <v>#N/A</v>
      </c>
      <c r="AB39" s="8" t="e">
        <f ca="1" t="shared" si="14"/>
        <v>#N/A</v>
      </c>
      <c r="AC39" s="8" t="e">
        <f ca="1" t="shared" si="15"/>
        <v>#N/A</v>
      </c>
      <c r="AE39" t="e">
        <f ca="1" t="shared" si="22"/>
        <v>#N/A</v>
      </c>
      <c r="AF39" t="e">
        <f ca="1">MATCH(K39,Calcs!$S$3:$S$30,0)</f>
        <v>#N/A</v>
      </c>
      <c r="AH39" s="4">
        <v>29</v>
      </c>
      <c r="AI39" s="4">
        <f t="shared" si="16"/>
        <v>3643.2611691929</v>
      </c>
      <c r="AJ39" t="e">
        <f ca="1">OFFSET(Calcs!$D$3,Input_Output!AF39,0)</f>
        <v>#N/A</v>
      </c>
      <c r="AK39" t="e">
        <f ca="1">OFFSET(Calcs!$AZ$3,Input_Output!AF39,0)</f>
        <v>#N/A</v>
      </c>
    </row>
    <row r="40" spans="1:37">
      <c r="A40" s="4" t="str">
        <f>A33</f>
        <v>B</v>
      </c>
      <c r="B40" s="84">
        <f t="shared" si="26"/>
        <v>502.518781957642</v>
      </c>
      <c r="C40" s="84">
        <f t="shared" si="26"/>
        <v>565.333629702347</v>
      </c>
      <c r="D40" s="85">
        <f t="shared" si="26"/>
        <v>0</v>
      </c>
      <c r="E40" s="85">
        <f t="shared" si="26"/>
        <v>0</v>
      </c>
      <c r="F40" s="85">
        <f t="shared" si="26"/>
        <v>0</v>
      </c>
      <c r="K40" s="4">
        <v>30</v>
      </c>
      <c r="L40" s="4">
        <f t="shared" si="8"/>
        <v>3750</v>
      </c>
      <c r="M40" s="21" t="e">
        <f ca="1">VLOOKUP(K40,Calcs!$Q$3:$T$30,4)</f>
        <v>#REF!</v>
      </c>
      <c r="N40" s="21" t="e">
        <f ca="1" t="shared" si="24"/>
        <v>#REF!</v>
      </c>
      <c r="O40" s="6" t="e">
        <f ca="1">AVERAGE(OFFSET(Calcs!$K$3,AE40,0):OFFSET(Calcs!$K$3,Input_Output!AF40-1,0))</f>
        <v>#N/A</v>
      </c>
      <c r="P40" t="e">
        <f ca="1" t="shared" si="9"/>
        <v>#N/A</v>
      </c>
      <c r="Q40" s="6" t="e">
        <f ca="1" t="shared" si="10"/>
        <v>#N/A</v>
      </c>
      <c r="Y40" s="8" t="e">
        <f ca="1" t="shared" si="11"/>
        <v>#N/A</v>
      </c>
      <c r="Z40" s="8" t="e">
        <f ca="1" t="shared" si="12"/>
        <v>#N/A</v>
      </c>
      <c r="AA40" s="8" t="e">
        <f ca="1" t="shared" si="13"/>
        <v>#N/A</v>
      </c>
      <c r="AB40" s="8" t="e">
        <f ca="1" t="shared" si="14"/>
        <v>#N/A</v>
      </c>
      <c r="AC40" s="8" t="e">
        <f ca="1" t="shared" si="15"/>
        <v>#N/A</v>
      </c>
      <c r="AE40" t="e">
        <f ca="1" t="shared" si="22"/>
        <v>#N/A</v>
      </c>
      <c r="AF40" t="e">
        <f ca="1">MATCH(K40,Calcs!$S$3:$S$30,0)</f>
        <v>#N/A</v>
      </c>
      <c r="AH40" s="4">
        <v>30</v>
      </c>
      <c r="AI40" s="4">
        <f t="shared" si="16"/>
        <v>3768.89086468231</v>
      </c>
      <c r="AJ40" t="e">
        <f ca="1">OFFSET(Calcs!$D$3,Input_Output!AF40,0)</f>
        <v>#N/A</v>
      </c>
      <c r="AK40" t="e">
        <f ca="1">OFFSET(Calcs!$AZ$3,Input_Output!AF40,0)</f>
        <v>#N/A</v>
      </c>
    </row>
    <row r="41" spans="2:37">
      <c r="B41" s="86">
        <f>SUM(B37:B40)</f>
        <v>2072.88997557527</v>
      </c>
      <c r="C41" s="87">
        <f>B41+SUM(C37:C40)</f>
        <v>4020.15025566113</v>
      </c>
      <c r="D41" s="87">
        <f>C41+SUM(D37:D40)</f>
        <v>4020.15025566113</v>
      </c>
      <c r="E41" s="87">
        <f>D41+SUM(E37:E40)</f>
        <v>4020.15025566113</v>
      </c>
      <c r="F41" s="87">
        <f>E41+SUM(F37:F40)</f>
        <v>4020.15025566113</v>
      </c>
      <c r="G41" t="s">
        <v>117</v>
      </c>
      <c r="H41" s="87">
        <f>MAX(B41:F41)</f>
        <v>4020.15025566113</v>
      </c>
      <c r="K41" s="4">
        <v>31</v>
      </c>
      <c r="L41" s="4">
        <f t="shared" si="8"/>
        <v>3875</v>
      </c>
      <c r="M41" s="21" t="e">
        <f ca="1">VLOOKUP(K41,Calcs!$Q$3:$T$30,4)</f>
        <v>#REF!</v>
      </c>
      <c r="N41" s="21" t="e">
        <f ca="1" t="shared" si="24"/>
        <v>#REF!</v>
      </c>
      <c r="O41" s="6" t="e">
        <f ca="1">AVERAGE(OFFSET(Calcs!$K$3,AE41,0):OFFSET(Calcs!$K$3,Input_Output!AF41-1,0))</f>
        <v>#N/A</v>
      </c>
      <c r="P41" t="e">
        <f ca="1" t="shared" si="9"/>
        <v>#N/A</v>
      </c>
      <c r="Q41" s="6" t="e">
        <f ca="1" t="shared" si="10"/>
        <v>#N/A</v>
      </c>
      <c r="Y41" s="8" t="e">
        <f ca="1" t="shared" si="11"/>
        <v>#N/A</v>
      </c>
      <c r="Z41" s="8" t="e">
        <f ca="1" t="shared" si="12"/>
        <v>#N/A</v>
      </c>
      <c r="AA41" s="8" t="e">
        <f ca="1" t="shared" si="13"/>
        <v>#N/A</v>
      </c>
      <c r="AB41" s="8" t="e">
        <f ca="1" t="shared" si="14"/>
        <v>#N/A</v>
      </c>
      <c r="AC41" s="8" t="e">
        <f ca="1" t="shared" si="15"/>
        <v>#N/A</v>
      </c>
      <c r="AE41" t="e">
        <f ca="1" t="shared" si="22"/>
        <v>#N/A</v>
      </c>
      <c r="AF41" t="e">
        <f ca="1">MATCH(K41,Calcs!$S$3:$S$30,0)</f>
        <v>#N/A</v>
      </c>
      <c r="AH41" s="4">
        <v>31</v>
      </c>
      <c r="AI41" s="4">
        <f t="shared" si="16"/>
        <v>3894.52056017172</v>
      </c>
      <c r="AJ41" t="e">
        <f ca="1">OFFSET(Calcs!$D$3,Input_Output!AF41,0)</f>
        <v>#N/A</v>
      </c>
      <c r="AK41" t="e">
        <f ca="1">OFFSET(Calcs!$AZ$3,Input_Output!AF41,0)</f>
        <v>#N/A</v>
      </c>
    </row>
    <row r="42" spans="11:37">
      <c r="K42" s="4">
        <v>32</v>
      </c>
      <c r="L42" s="4">
        <f t="shared" si="8"/>
        <v>4000</v>
      </c>
      <c r="M42" s="21" t="e">
        <f ca="1">VLOOKUP(K42,Calcs!$Q$3:$T$30,4)</f>
        <v>#REF!</v>
      </c>
      <c r="N42" s="21" t="e">
        <f ca="1" t="shared" si="24"/>
        <v>#REF!</v>
      </c>
      <c r="O42" s="6" t="e">
        <f ca="1">AVERAGE(OFFSET(Calcs!$K$3,AE42,0):OFFSET(Calcs!$K$3,Input_Output!AF42-1,0))</f>
        <v>#N/A</v>
      </c>
      <c r="P42" t="e">
        <f ca="1" t="shared" si="9"/>
        <v>#N/A</v>
      </c>
      <c r="Q42" s="6" t="e">
        <f ca="1" t="shared" si="10"/>
        <v>#N/A</v>
      </c>
      <c r="Y42" s="8" t="e">
        <f ca="1" t="shared" si="11"/>
        <v>#N/A</v>
      </c>
      <c r="Z42" s="8" t="e">
        <f ca="1" t="shared" si="12"/>
        <v>#N/A</v>
      </c>
      <c r="AA42" s="8" t="e">
        <f ca="1" t="shared" si="13"/>
        <v>#N/A</v>
      </c>
      <c r="AB42" s="8" t="e">
        <f ca="1" t="shared" si="14"/>
        <v>#N/A</v>
      </c>
      <c r="AC42" s="8" t="e">
        <f ca="1" t="shared" si="15"/>
        <v>#N/A</v>
      </c>
      <c r="AE42" t="e">
        <f ca="1" t="shared" si="22"/>
        <v>#N/A</v>
      </c>
      <c r="AF42" t="e">
        <f ca="1">MATCH(K42,Calcs!$S$3:$S$30,0)</f>
        <v>#N/A</v>
      </c>
      <c r="AH42" s="4">
        <v>32</v>
      </c>
      <c r="AI42" s="4">
        <f t="shared" si="16"/>
        <v>4020.15025566113</v>
      </c>
      <c r="AJ42" t="e">
        <f ca="1">OFFSET(Calcs!$D$3,Input_Output!AF42,0)</f>
        <v>#N/A</v>
      </c>
      <c r="AK42" t="e">
        <f ca="1">OFFSET(Calcs!$AZ$3,Input_Output!AF42,0)</f>
        <v>#N/A</v>
      </c>
    </row>
    <row r="43" spans="1:35">
      <c r="A43" s="81" t="s">
        <v>118</v>
      </c>
      <c r="AH43" s="53">
        <v>33</v>
      </c>
      <c r="AI43" s="53">
        <f t="shared" si="16"/>
        <v>4145.77995115055</v>
      </c>
    </row>
    <row r="44" spans="1:6">
      <c r="A44" s="81"/>
      <c r="B44" s="4">
        <v>1</v>
      </c>
      <c r="C44" s="4">
        <v>2</v>
      </c>
      <c r="D44" s="4">
        <v>3</v>
      </c>
      <c r="E44" s="4">
        <v>4</v>
      </c>
      <c r="F44" s="4">
        <v>5</v>
      </c>
    </row>
    <row r="45" spans="1:7">
      <c r="A45" s="4" t="str">
        <f>A30</f>
        <v>A</v>
      </c>
      <c r="B45" s="84">
        <f>B37</f>
        <v>565.333629702347</v>
      </c>
      <c r="C45" s="84">
        <f>B41+C37</f>
        <v>2324.14936655409</v>
      </c>
      <c r="D45" s="84">
        <f>C41+D37</f>
        <v>4020.15025566113</v>
      </c>
      <c r="E45" s="84">
        <f>D41+E37</f>
        <v>4020.15025566113</v>
      </c>
      <c r="F45" s="84">
        <f>E41+F37</f>
        <v>4020.15025566113</v>
      </c>
      <c r="G45" s="53">
        <v>1</v>
      </c>
    </row>
    <row r="46" spans="1:7">
      <c r="A46" s="4" t="str">
        <f>A31</f>
        <v>E</v>
      </c>
      <c r="B46" s="84">
        <f>B38+B45</f>
        <v>1067.85241165999</v>
      </c>
      <c r="C46" s="84">
        <f t="shared" ref="C46:F48" si="27">C45+C38</f>
        <v>2826.66814851173</v>
      </c>
      <c r="D46" s="84">
        <f t="shared" si="27"/>
        <v>4020.15025566113</v>
      </c>
      <c r="E46" s="84">
        <f t="shared" si="27"/>
        <v>4020.15025566113</v>
      </c>
      <c r="F46" s="84">
        <f t="shared" si="27"/>
        <v>4020.15025566113</v>
      </c>
      <c r="G46" s="53">
        <v>2</v>
      </c>
    </row>
    <row r="47" spans="1:27">
      <c r="A47" s="4" t="str">
        <f>A32</f>
        <v>D</v>
      </c>
      <c r="B47" s="84">
        <f>B39+B46</f>
        <v>1570.37119361763</v>
      </c>
      <c r="C47" s="84">
        <f t="shared" si="27"/>
        <v>3454.81662595879</v>
      </c>
      <c r="D47" s="84">
        <f t="shared" si="27"/>
        <v>4020.15025566113</v>
      </c>
      <c r="E47" s="84">
        <f t="shared" si="27"/>
        <v>4020.15025566113</v>
      </c>
      <c r="F47" s="84">
        <f t="shared" si="27"/>
        <v>4020.15025566113</v>
      </c>
      <c r="G47" s="53">
        <v>3</v>
      </c>
      <c r="Z47" s="6"/>
      <c r="AA47" s="6"/>
    </row>
    <row r="48" spans="1:9">
      <c r="A48" s="4" t="str">
        <f>A33</f>
        <v>B</v>
      </c>
      <c r="B48" s="84">
        <f>B40+B47</f>
        <v>2072.88997557527</v>
      </c>
      <c r="C48" s="84">
        <f t="shared" si="27"/>
        <v>4020.15025566113</v>
      </c>
      <c r="D48" s="84">
        <f t="shared" si="27"/>
        <v>4020.15025566113</v>
      </c>
      <c r="E48" s="84">
        <f t="shared" si="27"/>
        <v>4020.15025566113</v>
      </c>
      <c r="F48" s="84">
        <f t="shared" si="27"/>
        <v>4020.15025566113</v>
      </c>
      <c r="G48" s="53">
        <v>4</v>
      </c>
      <c r="I48" s="12"/>
    </row>
    <row r="49" spans="26:27">
      <c r="Z49" s="6"/>
      <c r="AA49" s="6"/>
    </row>
    <row r="50" spans="1:1">
      <c r="A50" s="82" t="s">
        <v>119</v>
      </c>
    </row>
    <row r="51" spans="1:3">
      <c r="A51" s="4" t="s">
        <v>22</v>
      </c>
      <c r="B51" s="88">
        <v>0.98</v>
      </c>
      <c r="C51" s="4" t="s">
        <v>120</v>
      </c>
    </row>
    <row r="52" spans="1:2">
      <c r="A52" s="4" t="s">
        <v>25</v>
      </c>
      <c r="B52" s="88">
        <v>0.7</v>
      </c>
    </row>
    <row r="53" spans="1:2">
      <c r="A53" s="4" t="s">
        <v>29</v>
      </c>
      <c r="B53" s="88">
        <v>0.6</v>
      </c>
    </row>
    <row r="54" spans="1:27">
      <c r="A54" s="4" t="s">
        <v>33</v>
      </c>
      <c r="B54" s="88">
        <v>0.62</v>
      </c>
      <c r="Z54" s="6"/>
      <c r="AA54" s="6"/>
    </row>
    <row r="56" spans="1:27">
      <c r="A56" s="4" t="s">
        <v>121</v>
      </c>
      <c r="B56" s="4" t="s">
        <v>122</v>
      </c>
      <c r="C56" s="4" t="s">
        <v>123</v>
      </c>
      <c r="D56" s="84">
        <f>IF(B26,0.5,0.3)</f>
        <v>0.3</v>
      </c>
      <c r="H56" s="1"/>
      <c r="I56" s="1"/>
      <c r="J56" s="1"/>
      <c r="K56" s="1"/>
      <c r="L56" s="1"/>
      <c r="M56" s="1"/>
      <c r="N56" s="1"/>
      <c r="Z56" s="6"/>
      <c r="AA56" s="6"/>
    </row>
    <row r="57" spans="1:11">
      <c r="A57" s="4">
        <v>1</v>
      </c>
      <c r="B57" s="84">
        <v>0</v>
      </c>
      <c r="K57" s="27"/>
    </row>
    <row r="58" spans="1:11">
      <c r="A58" s="4">
        <v>2</v>
      </c>
      <c r="B58" s="84">
        <v>0</v>
      </c>
      <c r="K58" s="27"/>
    </row>
    <row r="59" ht="31.5" spans="1:12">
      <c r="A59" s="4">
        <v>3</v>
      </c>
      <c r="B59" s="84">
        <v>0</v>
      </c>
      <c r="K59" s="27"/>
      <c r="L59" s="95"/>
    </row>
    <row r="60" spans="1:11">
      <c r="A60" s="4">
        <v>4</v>
      </c>
      <c r="B60" s="84">
        <f t="shared" ref="B60:B88" si="28">$D$56</f>
        <v>0.3</v>
      </c>
      <c r="K60" s="27"/>
    </row>
    <row r="61" spans="1:11">
      <c r="A61" s="4">
        <v>5</v>
      </c>
      <c r="B61" s="84">
        <f t="shared" si="28"/>
        <v>0.3</v>
      </c>
      <c r="K61" s="27"/>
    </row>
    <row r="62" spans="1:11">
      <c r="A62" s="4">
        <v>6</v>
      </c>
      <c r="B62" s="84">
        <f t="shared" si="28"/>
        <v>0.3</v>
      </c>
      <c r="K62" s="27"/>
    </row>
    <row r="63" spans="1:11">
      <c r="A63" s="4">
        <v>7</v>
      </c>
      <c r="B63" s="84">
        <f t="shared" si="28"/>
        <v>0.3</v>
      </c>
      <c r="K63" s="27"/>
    </row>
    <row r="64" spans="1:11">
      <c r="A64" s="4">
        <v>8</v>
      </c>
      <c r="B64" s="84">
        <f t="shared" si="28"/>
        <v>0.3</v>
      </c>
      <c r="K64" s="27"/>
    </row>
    <row r="65" spans="1:11">
      <c r="A65" s="4">
        <v>9</v>
      </c>
      <c r="B65" s="84">
        <f t="shared" si="28"/>
        <v>0.3</v>
      </c>
      <c r="K65" s="27"/>
    </row>
    <row r="66" spans="1:11">
      <c r="A66" s="4">
        <v>10</v>
      </c>
      <c r="B66" s="84">
        <f t="shared" si="28"/>
        <v>0.3</v>
      </c>
      <c r="K66" s="27"/>
    </row>
    <row r="67" spans="1:11">
      <c r="A67" s="4">
        <v>11</v>
      </c>
      <c r="B67" s="84">
        <f t="shared" si="28"/>
        <v>0.3</v>
      </c>
      <c r="K67" s="27"/>
    </row>
    <row r="68" spans="1:11">
      <c r="A68" s="4">
        <v>12</v>
      </c>
      <c r="B68" s="84">
        <f t="shared" si="28"/>
        <v>0.3</v>
      </c>
      <c r="K68" s="27"/>
    </row>
    <row r="69" spans="1:2">
      <c r="A69" s="4">
        <v>13</v>
      </c>
      <c r="B69" s="84">
        <f t="shared" si="28"/>
        <v>0.3</v>
      </c>
    </row>
    <row r="70" spans="1:2">
      <c r="A70" s="4">
        <v>14</v>
      </c>
      <c r="B70" s="84">
        <f t="shared" si="28"/>
        <v>0.3</v>
      </c>
    </row>
    <row r="71" spans="1:2">
      <c r="A71" s="4">
        <v>15</v>
      </c>
      <c r="B71" s="84">
        <f t="shared" si="28"/>
        <v>0.3</v>
      </c>
    </row>
    <row r="72" spans="1:2">
      <c r="A72" s="4">
        <v>16</v>
      </c>
      <c r="B72" s="84">
        <f t="shared" si="28"/>
        <v>0.3</v>
      </c>
    </row>
    <row r="73" spans="1:2">
      <c r="A73" s="4">
        <v>17</v>
      </c>
      <c r="B73" s="84">
        <f t="shared" si="28"/>
        <v>0.3</v>
      </c>
    </row>
    <row r="74" spans="1:2">
      <c r="A74" s="4">
        <v>18</v>
      </c>
      <c r="B74" s="84">
        <f t="shared" si="28"/>
        <v>0.3</v>
      </c>
    </row>
    <row r="75" spans="1:2">
      <c r="A75" s="4">
        <v>19</v>
      </c>
      <c r="B75" s="84">
        <f t="shared" si="28"/>
        <v>0.3</v>
      </c>
    </row>
    <row r="76" spans="1:2">
      <c r="A76" s="4">
        <v>20</v>
      </c>
      <c r="B76" s="84">
        <f t="shared" si="28"/>
        <v>0.3</v>
      </c>
    </row>
    <row r="77" spans="1:2">
      <c r="A77" s="4">
        <v>21</v>
      </c>
      <c r="B77" s="84">
        <f t="shared" si="28"/>
        <v>0.3</v>
      </c>
    </row>
    <row r="78" spans="1:2">
      <c r="A78" s="4">
        <v>22</v>
      </c>
      <c r="B78" s="84">
        <f t="shared" si="28"/>
        <v>0.3</v>
      </c>
    </row>
    <row r="79" spans="1:2">
      <c r="A79" s="4">
        <v>23</v>
      </c>
      <c r="B79" s="84">
        <f t="shared" si="28"/>
        <v>0.3</v>
      </c>
    </row>
    <row r="80" spans="1:2">
      <c r="A80" s="4">
        <v>24</v>
      </c>
      <c r="B80" s="84">
        <f t="shared" si="28"/>
        <v>0.3</v>
      </c>
    </row>
    <row r="81" spans="1:2">
      <c r="A81" s="4">
        <v>25</v>
      </c>
      <c r="B81" s="84">
        <f t="shared" si="28"/>
        <v>0.3</v>
      </c>
    </row>
    <row r="82" spans="1:2">
      <c r="A82" s="4">
        <v>26</v>
      </c>
      <c r="B82" s="84">
        <f t="shared" si="28"/>
        <v>0.3</v>
      </c>
    </row>
    <row r="83" spans="1:2">
      <c r="A83" s="4">
        <v>27</v>
      </c>
      <c r="B83" s="84">
        <f t="shared" si="28"/>
        <v>0.3</v>
      </c>
    </row>
    <row r="84" spans="1:2">
      <c r="A84" s="4">
        <v>28</v>
      </c>
      <c r="B84" s="84">
        <f t="shared" si="28"/>
        <v>0.3</v>
      </c>
    </row>
    <row r="85" spans="1:2">
      <c r="A85" s="4">
        <v>29</v>
      </c>
      <c r="B85" s="84">
        <f t="shared" si="28"/>
        <v>0.3</v>
      </c>
    </row>
    <row r="86" spans="1:2">
      <c r="A86" s="4">
        <v>30</v>
      </c>
      <c r="B86" s="84">
        <f t="shared" si="28"/>
        <v>0.3</v>
      </c>
    </row>
    <row r="87" spans="1:2">
      <c r="A87" s="4">
        <v>31</v>
      </c>
      <c r="B87" s="84">
        <f t="shared" si="28"/>
        <v>0.3</v>
      </c>
    </row>
    <row r="88" spans="1:2">
      <c r="A88" s="4">
        <v>32</v>
      </c>
      <c r="B88" s="84">
        <f t="shared" si="28"/>
        <v>0.3</v>
      </c>
    </row>
  </sheetData>
  <mergeCells count="1">
    <mergeCell ref="AE10:AF10"/>
  </mergeCells>
  <conditionalFormatting sqref="I33">
    <cfRule type="cellIs" dxfId="0" priority="3" operator="lessThan">
      <formula>16</formula>
    </cfRule>
    <cfRule type="cellIs" dxfId="0" priority="4" operator="greaterThan">
      <formula>16</formula>
    </cfRule>
    <cfRule type="cellIs" dxfId="1" priority="5" operator="equal">
      <formula>16</formula>
    </cfRule>
  </conditionalFormatting>
  <conditionalFormatting sqref="AK2:AO6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"/>
  <sheetViews>
    <sheetView zoomScale="55" zoomScaleNormal="55" workbookViewId="0">
      <selection activeCell="W10" sqref="W10"/>
    </sheetView>
  </sheetViews>
  <sheetFormatPr defaultColWidth="9" defaultRowHeight="13.5"/>
  <sheetData/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K30"/>
  <sheetViews>
    <sheetView workbookViewId="0">
      <pane ySplit="2" topLeftCell="A3" activePane="bottomLeft" state="frozen"/>
      <selection/>
      <selection pane="bottomLeft" activeCell="E4" sqref="E4"/>
    </sheetView>
  </sheetViews>
  <sheetFormatPr defaultColWidth="9" defaultRowHeight="13.5"/>
  <cols>
    <col min="4" max="4" width="9.56666666666667" customWidth="1"/>
    <col min="8" max="8" width="11.425" customWidth="1"/>
    <col min="9" max="10" width="11.5666666666667" customWidth="1"/>
    <col min="13" max="14" width="12.7083333333333" customWidth="1"/>
    <col min="15" max="16" width="13.8583333333333" customWidth="1"/>
    <col min="17" max="19" width="10.425" customWidth="1"/>
    <col min="20" max="21" width="13.1416666666667" customWidth="1"/>
    <col min="23" max="23" width="13.8583333333333" customWidth="1"/>
    <col min="24" max="33" width="14.425" customWidth="1"/>
    <col min="34" max="34" width="11.425" customWidth="1"/>
    <col min="35" max="35" width="9.85833333333333" customWidth="1"/>
    <col min="36" max="42" width="9.14166666666667" customWidth="1"/>
    <col min="43" max="43" width="9.56666666666667" customWidth="1"/>
    <col min="44" max="44" width="11.2833333333333" customWidth="1"/>
    <col min="45" max="45" width="16.1416666666667" customWidth="1"/>
    <col min="50" max="50" width="12.625"/>
    <col min="54" max="55" width="12" customWidth="1"/>
    <col min="56" max="56" width="26" style="10" customWidth="1"/>
    <col min="57" max="57" width="11" customWidth="1"/>
    <col min="58" max="58" width="13" customWidth="1"/>
    <col min="72" max="72" width="13.8583333333333" style="10" customWidth="1"/>
    <col min="73" max="73" width="11.5666666666667" customWidth="1"/>
    <col min="74" max="74" width="9.85833333333333" customWidth="1"/>
    <col min="75" max="75" width="12.425" customWidth="1"/>
    <col min="76" max="77" width="13.5666666666667" customWidth="1"/>
    <col min="78" max="81" width="9.85833333333333" customWidth="1"/>
    <col min="82" max="82" width="9.85833333333333" style="11" customWidth="1"/>
    <col min="83" max="83" width="9.85833333333333" customWidth="1"/>
    <col min="86" max="86" width="13.1416666666667" customWidth="1"/>
    <col min="93" max="93" width="9.14166666666667" style="11"/>
    <col min="97" max="97" width="11.425" customWidth="1"/>
    <col min="104" max="104" width="9.14166666666667" style="11"/>
    <col min="108" max="108" width="12.2833333333333" customWidth="1"/>
    <col min="111" max="111" width="12" customWidth="1"/>
  </cols>
  <sheetData>
    <row r="1" ht="33.6" customHeight="1" spans="1:115">
      <c r="A1" s="12"/>
      <c r="I1" s="17" t="s">
        <v>124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t="s">
        <v>125</v>
      </c>
      <c r="AZ1">
        <f ca="1">MATCH(250,H3:H30,1)+1</f>
        <v>11</v>
      </c>
      <c r="BA1" t="s">
        <v>126</v>
      </c>
      <c r="BB1">
        <f ca="1">MATCH(tot_dist_end,H3:H30,1)</f>
        <v>10</v>
      </c>
      <c r="BD1" s="10" t="str">
        <f ca="1">_xlfn.CONCAT("bb",AZ1)</f>
        <v>bb11</v>
      </c>
      <c r="BE1" t="str">
        <f ca="1">_xlfn.CONCAT("bb",BB1)</f>
        <v>bb10</v>
      </c>
      <c r="BF1">
        <f ca="1">AVERAGE(INDIRECT(BD1):INDIRECT(BE1))</f>
        <v>147.252563906103</v>
      </c>
      <c r="BT1" s="39" t="s">
        <v>127</v>
      </c>
      <c r="BU1" s="42" t="e">
        <f ca="1">OFFSET(BV2,BB1,0)</f>
        <v>#DIV/0!</v>
      </c>
      <c r="BV1" s="43" t="e">
        <f ca="1">BU1/1000</f>
        <v>#DIV/0!</v>
      </c>
      <c r="BW1" s="44" t="e">
        <f ca="1">OFFSET(BX2,BB1,0)</f>
        <v>#DIV/0!</v>
      </c>
      <c r="BX1" s="43" t="e">
        <f ca="1">BW1/1000</f>
        <v>#DIV/0!</v>
      </c>
      <c r="BY1">
        <f>5/dt</f>
        <v>200</v>
      </c>
      <c r="BZ1" s="43">
        <f ca="1">MAX(BZ3:BZ30)</f>
        <v>0</v>
      </c>
      <c r="CA1">
        <f>60/dt</f>
        <v>2400</v>
      </c>
      <c r="CB1" s="43">
        <f ca="1">MAX(CB3:CB30)</f>
        <v>0</v>
      </c>
      <c r="CC1">
        <f>(60*3)/dt</f>
        <v>7200</v>
      </c>
      <c r="CD1" s="46">
        <f ca="1">MAX(CD3:CD30)</f>
        <v>0</v>
      </c>
      <c r="CE1" s="44"/>
      <c r="CF1" s="42" t="e">
        <f ca="1">OFFSET(CG2,$BB$1,0)</f>
        <v>#DIV/0!</v>
      </c>
      <c r="CG1" s="44" t="e">
        <f ca="1">CF1/1000</f>
        <v>#DIV/0!</v>
      </c>
      <c r="CH1" s="44" t="e">
        <f ca="1">OFFSET(CI2,$BB$1,0)</f>
        <v>#DIV/0!</v>
      </c>
      <c r="CI1" s="43" t="e">
        <f ca="1">CH1/1000</f>
        <v>#DIV/0!</v>
      </c>
      <c r="CJ1">
        <f>5/dt</f>
        <v>200</v>
      </c>
      <c r="CK1" s="43">
        <f ca="1">MAX(CK3:CK30)</f>
        <v>0</v>
      </c>
      <c r="CL1">
        <f>60/dt</f>
        <v>2400</v>
      </c>
      <c r="CM1" s="43">
        <f ca="1">MAX(CM3:CM30)</f>
        <v>0</v>
      </c>
      <c r="CN1">
        <f>(60*3)/dt</f>
        <v>7200</v>
      </c>
      <c r="CO1" s="46">
        <f ca="1">MAX(CO3:CO30)</f>
        <v>0</v>
      </c>
      <c r="CP1" s="44"/>
      <c r="CQ1" s="42" t="e">
        <f ca="1">OFFSET(CR2,$BB$1,0)</f>
        <v>#DIV/0!</v>
      </c>
      <c r="CR1" s="44" t="e">
        <f ca="1">CQ1/1000</f>
        <v>#DIV/0!</v>
      </c>
      <c r="CS1" s="44" t="e">
        <f ca="1">OFFSET(CT2,$BB$1,0)</f>
        <v>#DIV/0!</v>
      </c>
      <c r="CT1" s="43" t="e">
        <f ca="1">CS1/1000</f>
        <v>#DIV/0!</v>
      </c>
      <c r="CU1">
        <f>5/dt</f>
        <v>200</v>
      </c>
      <c r="CV1" s="43">
        <f ca="1">MAX(CV3:CV30)</f>
        <v>0</v>
      </c>
      <c r="CW1">
        <f>60/dt</f>
        <v>2400</v>
      </c>
      <c r="CX1" s="43">
        <f ca="1">MAX(CX3:CX30)</f>
        <v>0</v>
      </c>
      <c r="CY1">
        <f>(60*3)/dt</f>
        <v>7200</v>
      </c>
      <c r="CZ1" s="46">
        <f ca="1">MAX(CZ3:CZ30)</f>
        <v>0</v>
      </c>
      <c r="DA1" s="44"/>
      <c r="DB1" s="42" t="e">
        <f ca="1">OFFSET(DC2,$BB$1,0)</f>
        <v>#DIV/0!</v>
      </c>
      <c r="DC1" s="44" t="e">
        <f ca="1">DB1/1000</f>
        <v>#DIV/0!</v>
      </c>
      <c r="DD1" s="44" t="e">
        <f ca="1">OFFSET(DE2,$BB$1,0)</f>
        <v>#DIV/0!</v>
      </c>
      <c r="DE1" s="43" t="e">
        <f ca="1">DD1/1000</f>
        <v>#DIV/0!</v>
      </c>
      <c r="DF1">
        <f>5/dt</f>
        <v>200</v>
      </c>
      <c r="DG1" s="43">
        <f ca="1">MAX(DG3:DG30)</f>
        <v>0</v>
      </c>
      <c r="DH1">
        <f>60/dt</f>
        <v>2400</v>
      </c>
      <c r="DI1" s="43">
        <f ca="1">MAX(DI3:DI30)</f>
        <v>0</v>
      </c>
      <c r="DJ1">
        <f>(60*3)/dt</f>
        <v>7200</v>
      </c>
      <c r="DK1" s="46">
        <f ca="1">MAX(DK3:DK30)</f>
        <v>0</v>
      </c>
    </row>
    <row r="2" ht="94.9" customHeight="1" spans="2:115">
      <c r="B2" s="1" t="s">
        <v>128</v>
      </c>
      <c r="C2" s="13" t="s">
        <v>62</v>
      </c>
      <c r="D2" s="13" t="s">
        <v>124</v>
      </c>
      <c r="E2" s="13" t="s">
        <v>129</v>
      </c>
      <c r="F2" s="13" t="s">
        <v>130</v>
      </c>
      <c r="G2" s="13" t="s">
        <v>131</v>
      </c>
      <c r="H2" s="14" t="s">
        <v>132</v>
      </c>
      <c r="I2" s="18" t="s">
        <v>133</v>
      </c>
      <c r="J2" s="19" t="s">
        <v>134</v>
      </c>
      <c r="K2" s="20" t="s">
        <v>135</v>
      </c>
      <c r="L2" s="20" t="s">
        <v>136</v>
      </c>
      <c r="M2" s="20" t="s">
        <v>137</v>
      </c>
      <c r="N2" s="20" t="s">
        <v>138</v>
      </c>
      <c r="O2" s="20" t="s">
        <v>139</v>
      </c>
      <c r="P2" s="20" t="s">
        <v>140</v>
      </c>
      <c r="Q2" s="23" t="s">
        <v>51</v>
      </c>
      <c r="R2" s="24" t="s">
        <v>141</v>
      </c>
      <c r="S2" s="24" t="s">
        <v>142</v>
      </c>
      <c r="T2" s="23" t="s">
        <v>143</v>
      </c>
      <c r="U2" s="23" t="s">
        <v>144</v>
      </c>
      <c r="V2" s="24" t="s">
        <v>145</v>
      </c>
      <c r="W2" s="25" t="s">
        <v>146</v>
      </c>
      <c r="X2" s="25" t="s">
        <v>147</v>
      </c>
      <c r="Y2" s="25" t="s">
        <v>148</v>
      </c>
      <c r="Z2" s="29" t="s">
        <v>149</v>
      </c>
      <c r="AA2" s="29" t="s">
        <v>3</v>
      </c>
      <c r="AB2" s="29" t="s">
        <v>150</v>
      </c>
      <c r="AC2" s="30" t="s">
        <v>151</v>
      </c>
      <c r="AD2" s="30" t="s">
        <v>152</v>
      </c>
      <c r="AE2" s="30" t="s">
        <v>153</v>
      </c>
      <c r="AF2" s="30" t="s">
        <v>154</v>
      </c>
      <c r="AG2" s="30" t="s">
        <v>155</v>
      </c>
      <c r="AH2" s="31" t="s">
        <v>156</v>
      </c>
      <c r="AI2" s="31" t="s">
        <v>157</v>
      </c>
      <c r="AJ2" s="32" t="s">
        <v>158</v>
      </c>
      <c r="AK2" s="32" t="s">
        <v>159</v>
      </c>
      <c r="AL2" s="32" t="s">
        <v>160</v>
      </c>
      <c r="AM2" s="32" t="s">
        <v>161</v>
      </c>
      <c r="AN2" s="32" t="s">
        <v>162</v>
      </c>
      <c r="AO2" s="32" t="s">
        <v>163</v>
      </c>
      <c r="AP2" s="32" t="s">
        <v>164</v>
      </c>
      <c r="AQ2" s="32" t="s">
        <v>165</v>
      </c>
      <c r="AR2" s="32" t="s">
        <v>166</v>
      </c>
      <c r="AS2" s="33" t="s">
        <v>167</v>
      </c>
      <c r="AT2" s="34" t="s">
        <v>168</v>
      </c>
      <c r="AU2" s="34" t="s">
        <v>169</v>
      </c>
      <c r="AV2" s="34" t="s">
        <v>170</v>
      </c>
      <c r="AW2" s="34" t="s">
        <v>171</v>
      </c>
      <c r="AX2" s="34" t="s">
        <v>172</v>
      </c>
      <c r="AY2" s="30" t="s">
        <v>173</v>
      </c>
      <c r="AZ2" s="30" t="s">
        <v>174</v>
      </c>
      <c r="BA2" s="35" t="s">
        <v>175</v>
      </c>
      <c r="BB2" s="35" t="s">
        <v>176</v>
      </c>
      <c r="BC2" s="34" t="s">
        <v>177</v>
      </c>
      <c r="BD2" s="36" t="s">
        <v>178</v>
      </c>
      <c r="BE2" s="37" t="s">
        <v>179</v>
      </c>
      <c r="BF2" s="37" t="s">
        <v>180</v>
      </c>
      <c r="BG2" s="37" t="s">
        <v>181</v>
      </c>
      <c r="BH2" s="37" t="s">
        <v>182</v>
      </c>
      <c r="BI2" s="37" t="s">
        <v>183</v>
      </c>
      <c r="BJ2" s="38" t="s">
        <v>184</v>
      </c>
      <c r="BK2" s="38" t="s">
        <v>185</v>
      </c>
      <c r="BL2" s="38" t="s">
        <v>186</v>
      </c>
      <c r="BM2" s="38" t="s">
        <v>187</v>
      </c>
      <c r="BN2" s="38" t="s">
        <v>188</v>
      </c>
      <c r="BO2" s="40" t="s">
        <v>189</v>
      </c>
      <c r="BP2" s="40" t="s">
        <v>190</v>
      </c>
      <c r="BQ2" s="40" t="s">
        <v>191</v>
      </c>
      <c r="BR2" s="40" t="s">
        <v>192</v>
      </c>
      <c r="BS2" s="40" t="s">
        <v>193</v>
      </c>
      <c r="BT2" s="41" t="e">
        <f ca="1">D18</f>
        <v>#DIV/0!</v>
      </c>
      <c r="BU2" s="45" t="str">
        <f>_xlfn.CONCAT(D3," energy")</f>
        <v>A energy</v>
      </c>
      <c r="BV2" s="45" t="e">
        <f ca="1">_xlfn.CONCAT(BT2,", cumulative energy")</f>
        <v>#DIV/0!</v>
      </c>
      <c r="BW2" s="45" t="s">
        <v>194</v>
      </c>
      <c r="BX2" s="45" t="s">
        <v>195</v>
      </c>
      <c r="BY2" s="45"/>
      <c r="BZ2" s="45" t="s">
        <v>196</v>
      </c>
      <c r="CA2" s="45"/>
      <c r="CB2" s="45" t="s">
        <v>197</v>
      </c>
      <c r="CC2" s="45"/>
      <c r="CD2" s="47" t="s">
        <v>198</v>
      </c>
      <c r="CE2" s="45" t="str">
        <f>E3</f>
        <v>E</v>
      </c>
      <c r="CF2" s="45" t="str">
        <f>_xlfn.CONCAT(CE2," energy")</f>
        <v>E energy</v>
      </c>
      <c r="CG2" s="45" t="str">
        <f>_xlfn.CONCAT(CE2,", cumulative energy")</f>
        <v>E, cumulative energy</v>
      </c>
      <c r="CH2" s="45" t="s">
        <v>194</v>
      </c>
      <c r="CI2" s="45" t="s">
        <v>195</v>
      </c>
      <c r="CJ2" s="45"/>
      <c r="CK2" s="45" t="s">
        <v>196</v>
      </c>
      <c r="CL2" s="45"/>
      <c r="CM2" s="45" t="s">
        <v>197</v>
      </c>
      <c r="CN2" s="45"/>
      <c r="CO2" s="47" t="s">
        <v>198</v>
      </c>
      <c r="CP2" s="45" t="str">
        <f>F3</f>
        <v>D</v>
      </c>
      <c r="CQ2" s="45" t="str">
        <f>_xlfn.CONCAT(CP2," energy")</f>
        <v>D energy</v>
      </c>
      <c r="CR2" s="45" t="str">
        <f>_xlfn.CONCAT(CP2,", cumulative energy")</f>
        <v>D, cumulative energy</v>
      </c>
      <c r="CS2" s="45" t="s">
        <v>194</v>
      </c>
      <c r="CT2" s="45" t="s">
        <v>195</v>
      </c>
      <c r="CU2" s="45"/>
      <c r="CV2" s="45" t="s">
        <v>196</v>
      </c>
      <c r="CW2" s="45"/>
      <c r="CX2" s="45" t="s">
        <v>197</v>
      </c>
      <c r="CY2" s="45"/>
      <c r="CZ2" s="47" t="s">
        <v>198</v>
      </c>
      <c r="DA2" s="45" t="str">
        <f>G3</f>
        <v>B</v>
      </c>
      <c r="DB2" s="45" t="str">
        <f>_xlfn.CONCAT(G3," energy")</f>
        <v>B energy</v>
      </c>
      <c r="DC2" s="45" t="str">
        <f>_xlfn.CONCAT(DA2,", cumulative energy")</f>
        <v>B, cumulative energy</v>
      </c>
      <c r="DD2" s="45" t="s">
        <v>194</v>
      </c>
      <c r="DE2" s="45" t="s">
        <v>195</v>
      </c>
      <c r="DF2" s="45"/>
      <c r="DG2" s="45" t="s">
        <v>196</v>
      </c>
      <c r="DH2" s="45"/>
      <c r="DI2" s="45" t="s">
        <v>197</v>
      </c>
      <c r="DJ2" s="45"/>
      <c r="DK2" s="47" t="s">
        <v>198</v>
      </c>
    </row>
    <row r="3" spans="1:115">
      <c r="A3">
        <v>1</v>
      </c>
      <c r="B3">
        <f>dt</f>
        <v>0.025</v>
      </c>
      <c r="C3" s="15" t="str">
        <f>Input_Output!AN11</f>
        <v>A1</v>
      </c>
      <c r="D3" s="15" t="str">
        <f>Start_P1</f>
        <v>A</v>
      </c>
      <c r="E3" s="15" t="str">
        <f>Start_P2</f>
        <v>E</v>
      </c>
      <c r="F3" s="15" t="str">
        <f>Start_P3</f>
        <v>D</v>
      </c>
      <c r="G3" s="15" t="str">
        <f>Start_P4</f>
        <v>B</v>
      </c>
      <c r="H3" s="16">
        <f>O3</f>
        <v>0.0025</v>
      </c>
      <c r="I3" s="6">
        <f ca="1" t="array" ref="I3">IF(OR(Q3=1,Q3=2),Starter_power_increment,Power_increment)+IF(OR(Q3=1,Q3=2),IF(Lap1profile="Male",laponepm(B3),laponepf(B3)),VLOOKUP(_xlfn.SINGLE(Rider_P1),Input_Output!$G$2:$P$6,(7+J3),FALSE))*Efficiency</f>
        <v>9.14771164711629</v>
      </c>
      <c r="J3" s="21" t="str">
        <f>RIGHT(C3)</f>
        <v>1</v>
      </c>
      <c r="K3" s="15">
        <f>v0</f>
        <v>0.1</v>
      </c>
      <c r="L3" s="15">
        <f t="shared" ref="L3:L66" si="0">K3*dt</f>
        <v>0.0025</v>
      </c>
      <c r="M3" s="15">
        <f>L3</f>
        <v>0.0025</v>
      </c>
      <c r="N3" s="15">
        <f>K3</f>
        <v>0.1</v>
      </c>
      <c r="O3" s="16">
        <f>B3*K3</f>
        <v>0.0025</v>
      </c>
      <c r="P3" s="8">
        <f ca="1">VLOOKUP(C3,Input_Output!$AN$11:$AT$30,7,FALSE)</f>
        <v>565.333629702347</v>
      </c>
      <c r="Q3" s="26">
        <v>1</v>
      </c>
      <c r="R3" s="6">
        <f>VLOOKUP(Q3,Input_Output!$AH$11:$AI$43,2,FALSE)</f>
        <v>125.62969548941</v>
      </c>
      <c r="S3" s="27" t="b">
        <f ca="1">IF(R4&gt;R3,Q3,FALSE)</f>
        <v>0</v>
      </c>
      <c r="T3" s="12" t="str">
        <f ca="1" t="shared" ref="T3:T66" si="1">IF(S3,B3+((R3-H3)/Vel_whls)," ")</f>
        <v> </v>
      </c>
      <c r="U3" s="12">
        <f ca="1" t="shared" ref="U3:U66" si="2">Total_dist-(R3-(hl_length/track_dist_mult))</f>
        <v>0.00250000000036948</v>
      </c>
      <c r="V3" s="28">
        <f>O3/(hl_length/track_dist_mult)</f>
        <v>1.98997537187434e-5</v>
      </c>
      <c r="W3" s="8">
        <f>VLOOKUP(V3,Track_geometry_lookup!$A$3:$E$1003,2,TRUE)</f>
        <v>10000</v>
      </c>
      <c r="X3" s="12">
        <f>VLOOKUP(V3,Track_geometry_lookup!$A$3:$E$1003,3,TRUE)</f>
        <v>0.225147473507269</v>
      </c>
      <c r="Y3" s="12">
        <f ca="1">IF(Vel_whls&lt;6,0,(RADIANS(90)-(VLOOKUP(W3,Lean_angle_lookup!$A$3:$AP$244,VLOOKUP(Vel_whls,Lean_angle_lookup!$AU$3:$AV$48,2,TRUE),TRUE))))</f>
        <v>0</v>
      </c>
      <c r="Z3" s="6">
        <f ca="1">VLOOKUP(Rider_P1,Input_Output!$G$2:$K$6,5,FALSE)</f>
        <v>1.03</v>
      </c>
      <c r="AA3" s="8">
        <f ca="1">Static_mass_delta+VLOOKUP(Rider_P1,Input_Output!$G$2:$I$6,3,FALSE)</f>
        <v>88</v>
      </c>
      <c r="AB3" s="12">
        <f ca="1">P1_CDA_factor*(CDA_delta+IF(t&lt;Time_standing,VLOOKUP(Rider_P1,Input_Output!$G$2:$S$6,13,FALSE),VLOOKUP(Rider_P1,Input_Output!$G$2:$J$6,4,FALSE)))</f>
        <v>0.49</v>
      </c>
      <c r="AC3" s="12">
        <f ca="1" t="shared" ref="AC3:AC18" si="3">ATAN(Vel_whls^2*(Turn_radius_lookup-Seat_height_1*COS(Initial_lean_angle))/(9.81*Turn_radius_lookup^2))</f>
        <v>1.01926299694189e-7</v>
      </c>
      <c r="AD3" s="12">
        <f ca="1" t="shared" ref="AD3:AE22" si="4">ATAN(Vel_whls^2*(Turn_radius_lookup-Seat_height_1*SIN(AC3))/(9.81*Turn_radius_lookup^2))</f>
        <v>1.01936799183435e-7</v>
      </c>
      <c r="AE3" s="12">
        <f ca="1" t="shared" si="4"/>
        <v>1.01936799183435e-7</v>
      </c>
      <c r="AF3" s="6">
        <f ca="1">DEGREES(AE3)</f>
        <v>5.84054837028344e-6</v>
      </c>
      <c r="AG3" s="8">
        <f ca="1">90-AF3</f>
        <v>89.9999941594516</v>
      </c>
      <c r="AH3" s="6">
        <f ca="1" t="shared" ref="AH3:AH66" si="5">Turn_radius_lookup-(Seat_height_1*SIN(AE3))</f>
        <v>9999.999999895</v>
      </c>
      <c r="AI3" s="9">
        <f ca="1">Vel_whls/Turn_radius_lookup</f>
        <v>1e-5</v>
      </c>
      <c r="AJ3">
        <f ca="1" t="shared" ref="AJ3:AJ66" si="6">Mass*((Vel_CoM^2/R_CoM)*SIN(RADIANS(Lean_angle)))+(Mass*9.81*COS(RADIANS(Lean_angle)))</f>
        <v>863.280000000005</v>
      </c>
      <c r="AK3" s="6">
        <f ca="1" t="shared" ref="AK3:AK66" si="7">F_Normal*(1-Weight_dist_front_rear)</f>
        <v>345.312000000002</v>
      </c>
      <c r="AL3" s="6">
        <f ca="1" t="shared" ref="AL3:AL66" si="8">F_Normal-F_Normal_fr</f>
        <v>517.968000000003</v>
      </c>
      <c r="AM3" s="6">
        <f ca="1" t="shared" ref="AM3:AM66" si="9">F_Normal_fr*(Crr_front+Crr_delta)*(1+(mu_scrub*Sigma))</f>
        <v>0.603815302462336</v>
      </c>
      <c r="AN3" s="6">
        <f ca="1" t="shared" ref="AN3:AN66" si="10">F_Normal_rr*(Crr_rear+Crr_delta)*(1+(mu_scrub*Sigma))</f>
        <v>0.905722953693503</v>
      </c>
      <c r="AO3" s="6">
        <f ca="1">Force_RR_fr*Vel_whls</f>
        <v>0.0603815302462336</v>
      </c>
      <c r="AP3" s="6">
        <f ca="1" t="shared" ref="AP3:AP66" si="11">Force_RR_rr*Vel_whls</f>
        <v>0.0905722953693503</v>
      </c>
      <c r="AQ3" s="8">
        <f>90-DEGREES(X3)</f>
        <v>77.1</v>
      </c>
      <c r="AR3" s="6">
        <f ca="1">ABS(AG3-AQ3)</f>
        <v>12.8999941594516</v>
      </c>
      <c r="AS3" s="6">
        <f>VLOOKUP(Q3,Input_Output!$A$57:$B$88,2,FALSE)</f>
        <v>0</v>
      </c>
      <c r="AT3" s="6">
        <f ca="1" t="shared" ref="AT3:AT66" si="12">Power_RR_fr+Power_RR_rr</f>
        <v>0.150953825615584</v>
      </c>
      <c r="AU3">
        <f ca="1">CDA*0.5*rho*Vel_CoM*(Vel_CoM-Rel_airspeed)^2</f>
        <v>0.00028665</v>
      </c>
      <c r="AV3">
        <f ca="1" t="shared" ref="AV3:AV66" si="13">Power_in-Power_RR-Power_Aero</f>
        <v>8.9964711715007</v>
      </c>
      <c r="AW3">
        <f ca="1">Power_net/Vel_CoM</f>
        <v>89.964711715007</v>
      </c>
      <c r="AX3">
        <f ca="1">F_prop_net/(Mass+(MoI_whl_front/Wheel_radius^2)+(MoI_whl_rear/Wheel_radius^2))</f>
        <v>1.00612273644709</v>
      </c>
      <c r="AY3">
        <f ca="1" t="shared" ref="AY3:AY66" si="14">I3*dt</f>
        <v>0.228692791177907</v>
      </c>
      <c r="AZ3">
        <f ca="1">AY3</f>
        <v>0.228692791177907</v>
      </c>
      <c r="BA3" t="b">
        <f ca="1">IF(NOT(C4=C3),C3,FALSE)</f>
        <v>0</v>
      </c>
      <c r="BB3">
        <f ca="1">IFERROR(I3/AB3,1000)</f>
        <v>18.6687992798292</v>
      </c>
      <c r="BC3">
        <f ca="1" t="shared" ref="BC3:BC66" si="15">Mass*accel*Vel_CoM</f>
        <v>8.85388008073439</v>
      </c>
      <c r="BE3">
        <f ca="1">P2_CDA_factor*(CDA_delta+IF(t&lt;Time_standing,VLOOKUP(Rider_P2,Input_Output!$G$2:$S$6,13,FALSE),VLOOKUP(Rider_P2,Input_Output!$G$2:$J$6,4,FALSE)))*0.5*rho*Vel_CoM*(Vel_CoM-Rel_airspeed)^2</f>
        <v>0.00020475</v>
      </c>
      <c r="BF3">
        <f ca="1">Power_RR*VLOOKUP(Rider_P2,Input_Output!$G$2:$I$6,3,FALSE)/Mass</f>
        <v>0.137230750559622</v>
      </c>
      <c r="BG3">
        <f ca="1">VLOOKUP(Rider_P2,Input_Output!$G$2:$I$6,3,FALSE)*accel*Vel_CoM</f>
        <v>8.04898189157672</v>
      </c>
      <c r="BH3">
        <f ca="1" t="shared" ref="BH3:BH66" si="16">SUM(BE3:BG3)/Efficiency</f>
        <v>8.39632553039625</v>
      </c>
      <c r="BI3">
        <f ca="1">BH3*dt</f>
        <v>0.209908138259906</v>
      </c>
      <c r="BJ3">
        <f ca="1">P3_CDA_factor*(CDA_delta+IF(t&lt;Time_standing,VLOOKUP(Rider_P3,Input_Output!$G$2:$S$6,13,FALSE),VLOOKUP(Rider_P3,Input_Output!$G$2:$J$6,4,FALSE)))*0.5*rho*Vel_CoM*(Vel_CoM-Rel_airspeed)^2</f>
        <v>0.0001755</v>
      </c>
      <c r="BK3">
        <f ca="1">Power_RR*VLOOKUP(Rider_P3,Input_Output!$G$2:$I$6,3,FALSE)/Mass</f>
        <v>0.150953825615584</v>
      </c>
      <c r="BL3">
        <f ca="1">VLOOKUP(Rider_P3,Input_Output!$G$2:$I$6,3,FALSE)*accel*Vel_CoM</f>
        <v>8.85388008073439</v>
      </c>
      <c r="BM3">
        <f ca="1" t="shared" ref="BM3:BM66" si="17">SUM(BJ3:BL3)/Efficiency</f>
        <v>9.23590708343587</v>
      </c>
      <c r="BN3">
        <f ca="1">BM3*dt</f>
        <v>0.230897677085897</v>
      </c>
      <c r="BO3">
        <f ca="1">P4_CDA_factor*(CDA_delta+IF(t&lt;Time_standing,VLOOKUP(Rider_P4,Input_Output!$G$2:$S$6,13,FALSE),VLOOKUP(Rider_P4,Input_Output!$G$2:$J$6,4,FALSE)))*0.5*rho*Vel_CoM*(Vel_CoM-Rel_airspeed)^2</f>
        <v>0.00018135</v>
      </c>
      <c r="BP3">
        <f ca="1">Power_RR*VLOOKUP(Rider_P4,Input_Output!$G$2:$I$6,3,FALSE)/Mass</f>
        <v>0.154384594379574</v>
      </c>
      <c r="BQ3">
        <f ca="1">VLOOKUP(Rider_P4,Input_Output!$G$2:$I$6,3,FALSE)*accel*Vel_CoM</f>
        <v>9.05510462802381</v>
      </c>
      <c r="BR3">
        <f ca="1" t="shared" ref="BR3:BR66" si="18">SUM(BO3:BQ3)/Efficiency</f>
        <v>9.44581597169578</v>
      </c>
      <c r="BS3">
        <f ca="1">BR3*dt</f>
        <v>0.236145399292395</v>
      </c>
      <c r="BT3" s="10" t="e">
        <f ca="1" t="shared" ref="BT3:BT66" si="19">IF(Rider_P1=$BT$2,I3,IF(Rider_P2=$BT$2,$BH3,IF(Rider_P3=$BT$2,$BM3,$BR3)))</f>
        <v>#DIV/0!</v>
      </c>
      <c r="BU3" t="e">
        <f ca="1" t="shared" ref="BU3:BU66" si="20">BT3*dt</f>
        <v>#DIV/0!</v>
      </c>
      <c r="BV3" t="e">
        <f ca="1">BU3</f>
        <v>#DIV/0!</v>
      </c>
      <c r="BW3" t="e">
        <f ca="1">IF(BT3-VLOOKUP($BT$2,Input_Output!$G$2:$L$6,6,FALSE)&lt;0,0,BT3-VLOOKUP($BT$2,Input_Output!$G$2:$L$6,6,FALSE))*dt</f>
        <v>#DIV/0!</v>
      </c>
      <c r="BX3" t="e">
        <f ca="1">BW3</f>
        <v>#DIV/0!</v>
      </c>
      <c r="BY3" t="b">
        <f>IF(A3&lt;$BY$1,FALSE,TRUE)</f>
        <v>0</v>
      </c>
      <c r="BZ3">
        <f ca="1">IFERROR(IF(BY3,AVERAGE(OFFSET(BT3,0,0,-(MIN(ROW()-ROW($BT$3)+1,$BY$1)),1)),0),0)</f>
        <v>0</v>
      </c>
      <c r="CA3" t="b">
        <f>IF(A3&lt;$CA$1,FALSE,TRUE)</f>
        <v>0</v>
      </c>
      <c r="CB3">
        <f ca="1">IFERROR(IF(CA3,AVERAGE(OFFSET(BT3,0,0,-(MIN(ROW()-ROW($BT$3)+1,$CA$1)),1)),0),0)</f>
        <v>0</v>
      </c>
      <c r="CC3" t="b">
        <f>IF(A3&lt;$CC$1,FALSE,TRUE)</f>
        <v>0</v>
      </c>
      <c r="CD3" s="11">
        <f ca="1">IFERROR(IF(CC3,AVERAGE(OFFSET(BT3,0,0,-(MIN(ROW()-ROW($BT$3)+1,$CC$1)),1)),0),0)</f>
        <v>0</v>
      </c>
      <c r="CE3">
        <f ca="1" t="shared" ref="CE3:CE66" si="21">IF(Rider_P1=$CE$2,$I3,IF(Rider_P2=$CE$2,$BH3,IF(Rider_P3=$CE$2,$BM3,$BR3)))</f>
        <v>8.39632553039625</v>
      </c>
      <c r="CF3">
        <f ca="1" t="shared" ref="CF3:CF66" si="22">CE3*dt</f>
        <v>0.209908138259906</v>
      </c>
      <c r="CG3">
        <f ca="1">CF3</f>
        <v>0.209908138259906</v>
      </c>
      <c r="CH3">
        <f ca="1">IF(CE3-VLOOKUP($CE$2,Input_Output!$G$2:$L$6,6,FALSE)&lt;0,0,CE3-VLOOKUP($CE$2,Input_Output!$G$2:$L$6,6,FALSE))*dt</f>
        <v>0</v>
      </c>
      <c r="CI3">
        <f ca="1">CH3</f>
        <v>0</v>
      </c>
      <c r="CJ3" t="b">
        <f>IF($A3&lt;CJ$1,FALSE,TRUE)</f>
        <v>0</v>
      </c>
      <c r="CK3">
        <f ca="1">IFERROR(IF(CJ3,AVERAGE(OFFSET(CE3,0,0,-(MIN(ROW()-ROW($CE$3)+1,$CJ$1)),1)),0),0)</f>
        <v>0</v>
      </c>
      <c r="CL3" t="b">
        <f>IF($A3&lt;CL$1,FALSE,TRUE)</f>
        <v>0</v>
      </c>
      <c r="CM3">
        <f ca="1">IFERROR(IF(CL3,AVERAGE(OFFSET(CE3,0,0,-(MIN(ROW()-ROW($CE$3)+1,$CL$1)),1)),0),0)</f>
        <v>0</v>
      </c>
      <c r="CN3" t="b">
        <f>IF($A3&lt;CN$1,FALSE,TRUE)</f>
        <v>0</v>
      </c>
      <c r="CO3" s="11">
        <f ca="1">IFERROR(IF(CN3,AVERAGE(OFFSET(CE3,0,0,-(MIN(ROW()-ROW($CE$3)+1,$CN$1)),1)),0),0)</f>
        <v>0</v>
      </c>
      <c r="CP3">
        <f ca="1" t="shared" ref="CP3:CP66" si="23">IF(Rider_P1=$CP$2,$I3,IF(Rider_P2=$CP$2,$BH3,IF(Rider_P3=$CP$2,$BM3,$BR3)))</f>
        <v>9.23590708343587</v>
      </c>
      <c r="CQ3">
        <f ca="1" t="shared" ref="CQ3:CQ66" si="24">CP3*dt</f>
        <v>0.230897677085897</v>
      </c>
      <c r="CR3">
        <f ca="1">CQ3</f>
        <v>0.230897677085897</v>
      </c>
      <c r="CS3">
        <f ca="1">IF(CP3-VLOOKUP($CP$2,Input_Output!$G$2:$L$6,6,FALSE)&lt;0,0,CP3-VLOOKUP($CP$2,Input_Output!$G$2:$L$6,6,FALSE))*dt</f>
        <v>0</v>
      </c>
      <c r="CT3">
        <f ca="1">CS3</f>
        <v>0</v>
      </c>
      <c r="CU3" t="b">
        <f>IF($A3&lt;CU$1,FALSE,TRUE)</f>
        <v>0</v>
      </c>
      <c r="CV3">
        <f ca="1">IFERROR(IF(CU3,AVERAGE(OFFSET($CP3,0,0,-(MIN(ROW()-ROW($CP$3)+1,$CU$1)),1)),0),0)</f>
        <v>0</v>
      </c>
      <c r="CW3" t="b">
        <f>IF($A3&lt;CW$1,FALSE,TRUE)</f>
        <v>0</v>
      </c>
      <c r="CX3">
        <f ca="1">IFERROR(IF(CW3,AVERAGE(OFFSET($CP3,0,0,-(MIN(ROW()-ROW($CP$3)+1,$CW$1)),1)),0),0)</f>
        <v>0</v>
      </c>
      <c r="CY3" t="b">
        <f>IF($A3&lt;CY$1,FALSE,TRUE)</f>
        <v>0</v>
      </c>
      <c r="CZ3" s="11">
        <f ca="1">IFERROR(IF(CY3,AVERAGE(OFFSET($CP3,0,0,-(MIN(ROW()-ROW($CP$3)+1,$CY$1)),1)),0),0)</f>
        <v>0</v>
      </c>
      <c r="DA3">
        <f ca="1" t="shared" ref="DA3:DA66" si="25">IF(Rider_P1=$DA$2,$I3,IF(Rider_P2=$DA$2,$BH3,IF(Rider_P3=$DA$2,$BM3,$BR3)))</f>
        <v>9.44581597169578</v>
      </c>
      <c r="DB3">
        <f ca="1" t="shared" ref="DB3:DB66" si="26">DA3*dt</f>
        <v>0.236145399292395</v>
      </c>
      <c r="DC3">
        <f ca="1">DB3</f>
        <v>0.236145399292395</v>
      </c>
      <c r="DD3">
        <f ca="1">IF(DA3-VLOOKUP($DA$2,Input_Output!$G$2:$L$6,6,FALSE)&lt;0,0,DA3-VLOOKUP($DA$2,Input_Output!$G$2:$L$6,6,FALSE))*dt</f>
        <v>0</v>
      </c>
      <c r="DE3">
        <f ca="1">DD3</f>
        <v>0</v>
      </c>
      <c r="DF3" t="b">
        <f>IF($A3&lt;DF$1,FALSE,TRUE)</f>
        <v>0</v>
      </c>
      <c r="DG3">
        <f ca="1">IFERROR(IF(DF3,AVERAGE(OFFSET($DA3,0,0,-(MIN(ROW()-ROW($DA$3)+1,$DF$1)),1)),0),0)</f>
        <v>0</v>
      </c>
      <c r="DH3" t="b">
        <f>IF($A3&lt;DH$1,FALSE,TRUE)</f>
        <v>0</v>
      </c>
      <c r="DI3">
        <f ca="1">IFERROR(IF(DH3,AVERAGE(OFFSET($DA3,0,0,-(MIN(ROW()-ROW($DA$3)+1,$DH$1)),1)),0),0)</f>
        <v>0</v>
      </c>
      <c r="DJ3" t="b">
        <f>IF($A3&lt;DJ$1,FALSE,TRUE)</f>
        <v>0</v>
      </c>
      <c r="DK3" s="11">
        <f ca="1">IFERROR(IF(DJ3,AVERAGE(OFFSET($DA3,0,0,-(MIN(ROW()-ROW($DA$3)+1,$DJ$1)),1)),0),0)</f>
        <v>0</v>
      </c>
    </row>
    <row r="4" spans="1:115">
      <c r="A4">
        <v>2</v>
      </c>
      <c r="B4">
        <f t="shared" ref="B4:B68" si="27">B3+dt</f>
        <v>0.05</v>
      </c>
      <c r="C4" t="str">
        <f ca="1">IF(O3&gt;P3,VLOOKUP(Calcs!C3,Input_Output!$AN$11:$AS$30,6,FALSE),C3)</f>
        <v>A1</v>
      </c>
      <c r="D4" t="str">
        <f ca="1">LEFT(C4)</f>
        <v>A</v>
      </c>
      <c r="E4" t="str">
        <f ca="1">VLOOKUP(D4,Input_Output!$B$2:$E$5,2,FALSE)</f>
        <v>E</v>
      </c>
      <c r="F4" t="str">
        <f ca="1">VLOOKUP(D4,Input_Output!$B$2:$E$5,3,FALSE)</f>
        <v>D</v>
      </c>
      <c r="G4" t="str">
        <f ca="1">VLOOKUP(D4,Input_Output!$B$2:$E$5,4,FALSE)</f>
        <v>B</v>
      </c>
      <c r="H4" s="9">
        <f ca="1">IFERROR(IF(NOT(C4=C3),VLOOKUP(C3,Input_Output!$AN$11:$AV$30,9,FALSE)+O3+O4+(N4*dt),H3+(N4*dt)),tot_dist_end+10)</f>
        <v>0.00500000000002625</v>
      </c>
      <c r="I4" s="6">
        <f ca="1" t="array" ref="I4">IF(OR(Q4=1,Q4=2),Starter_power_increment,Power_increment)+IF(OR(Q4=1,Q4=2),IF(Lap1profile="Male",laponepm(B4),laponepf(B4)),VLOOKUP(_xlfn.SINGLE(Rider_P1),Input_Output!$G$2:$P$6,(7+J4),FALSE))*Efficiency</f>
        <v>17.696957657917</v>
      </c>
      <c r="J4" s="21" t="str">
        <f ca="1" t="shared" ref="J4:J67" si="28">RIGHT(C4)</f>
        <v>1</v>
      </c>
      <c r="K4">
        <f ca="1" t="shared" ref="K4:K13" si="29">K3+AX3*dt</f>
        <v>0.125153068411177</v>
      </c>
      <c r="L4">
        <f ca="1" t="shared" ref="L4:L13" si="30">K4*dt</f>
        <v>0.00312882671027943</v>
      </c>
      <c r="M4">
        <f ca="1" t="shared" ref="M4:M13" si="31">K3*dt*(W3/AH3)+M3</f>
        <v>0.00500000000002625</v>
      </c>
      <c r="N4">
        <f ca="1" t="shared" ref="N4:N67" si="32">(M4-M3)/dt</f>
        <v>0.10000000000105</v>
      </c>
      <c r="O4" s="22">
        <f ca="1" t="shared" ref="O4:O67" si="33">IF(NOT(C4=C3),(N4*dt)-Bike_length-Spacing,O3+(N4*dt))</f>
        <v>0.00500000000002625</v>
      </c>
      <c r="P4" s="8">
        <f ca="1">VLOOKUP(C4,Input_Output!$AN$11:$AT$30,7,FALSE)</f>
        <v>565.333629702347</v>
      </c>
      <c r="Q4" s="27">
        <f ca="1">IF(H4&gt;R3,Q3+1,Q3)</f>
        <v>1</v>
      </c>
      <c r="R4" s="6">
        <f ca="1">VLOOKUP(Q4,Input_Output!$AH$11:$AI$43,2,FALSE)</f>
        <v>125.62969548941</v>
      </c>
      <c r="S4" s="27" t="b">
        <f ca="1">IF(R5&gt;R4,Q4,FALSE)</f>
        <v>0</v>
      </c>
      <c r="T4" s="12" t="str">
        <f ca="1" t="shared" si="1"/>
        <v> </v>
      </c>
      <c r="U4" s="12">
        <f ca="1" t="shared" si="2"/>
        <v>0.00500000000039573</v>
      </c>
      <c r="V4" s="28">
        <f ca="1" t="shared" ref="V4:V67" si="34">U4/(hl_length/track_dist_mult)</f>
        <v>3.97995074406369e-5</v>
      </c>
      <c r="W4" s="8">
        <f ca="1">VLOOKUP(V4,Track_geometry_lookup!$A$3:$E$1003,2,TRUE)</f>
        <v>10000</v>
      </c>
      <c r="X4" s="12">
        <f ca="1">VLOOKUP(V4,Track_geometry_lookup!$A$3:$E$1003,3,TRUE)</f>
        <v>0.225147473507269</v>
      </c>
      <c r="Y4" s="12">
        <f ca="1">IF(Vel_whls&lt;6,0,(RADIANS(90)-(VLOOKUP(W4,Lean_angle_lookup!$A$3:$AP$244,VLOOKUP(Vel_whls,Lean_angle_lookup!$AU$3:$AV$48,2,TRUE),TRUE))))</f>
        <v>0</v>
      </c>
      <c r="Z4" s="6">
        <f ca="1">VLOOKUP(Rider_P1,Input_Output!$G$2:$K$6,5,FALSE)</f>
        <v>1.03</v>
      </c>
      <c r="AA4" s="8">
        <f ca="1">Static_mass_delta+VLOOKUP(Rider_P1,Input_Output!$G$2:$I$6,3,FALSE)</f>
        <v>88</v>
      </c>
      <c r="AB4" s="12">
        <f ca="1">P1_CDA_factor*(CDA_delta+IF(t&lt;Time_standing,VLOOKUP(Rider_P1,Input_Output!$G$2:$S$6,13,FALSE),VLOOKUP(Rider_P1,Input_Output!$G$2:$J$6,4,FALSE)))</f>
        <v>0.49</v>
      </c>
      <c r="AC4" s="12">
        <f ca="1">ATAN(Vel_whls^2*(Turn_radius_lookup-Seat_height_1*COS(Initial_lean_angle))/(9.81*Turn_radius_lookup^2))</f>
        <v>1.0192629969633e-7</v>
      </c>
      <c r="AD4" s="12">
        <f ca="1" t="shared" si="4"/>
        <v>1.01936799185576e-7</v>
      </c>
      <c r="AE4" s="12">
        <f ca="1" t="shared" si="4"/>
        <v>1.01936799185576e-7</v>
      </c>
      <c r="AF4" s="6">
        <f ca="1" t="shared" ref="AF4" si="35">DEGREES(AE4)</f>
        <v>5.84054837040609e-6</v>
      </c>
      <c r="AG4" s="8">
        <f ca="1" t="shared" ref="AG4" si="36">90-AF4</f>
        <v>89.9999941594516</v>
      </c>
      <c r="AH4" s="6">
        <f ca="1" t="shared" si="5"/>
        <v>9999.999999895</v>
      </c>
      <c r="AI4" s="9">
        <f ca="1" t="shared" ref="AI4:AI66" si="37">Vel_whls/Turn_radius_lookup</f>
        <v>1.0000000000105e-5</v>
      </c>
      <c r="AJ4">
        <f ca="1" t="shared" si="6"/>
        <v>863.28000000001</v>
      </c>
      <c r="AK4" s="6">
        <f ca="1" t="shared" si="7"/>
        <v>345.312000000004</v>
      </c>
      <c r="AL4" s="6">
        <f ca="1" t="shared" si="8"/>
        <v>517.968000000006</v>
      </c>
      <c r="AM4" s="6">
        <f ca="1" t="shared" si="9"/>
        <v>0.603815302462339</v>
      </c>
      <c r="AN4" s="6">
        <f ca="1" t="shared" si="10"/>
        <v>0.905722953693509</v>
      </c>
      <c r="AO4" s="6">
        <f ca="1" t="shared" ref="AO4:AO66" si="38">Force_RR_fr*Vel_whls</f>
        <v>0.0603815302468679</v>
      </c>
      <c r="AP4" s="6">
        <f ca="1" t="shared" si="11"/>
        <v>0.0905722953703018</v>
      </c>
      <c r="AQ4" s="8">
        <f ca="1" t="shared" ref="AQ4:AQ66" si="39">90-DEGREES(X4)</f>
        <v>77.1</v>
      </c>
      <c r="AR4" s="6">
        <f ca="1" t="shared" ref="AR4:AR66" si="40">ABS(AG4-AQ4)</f>
        <v>12.8999941594517</v>
      </c>
      <c r="AS4" s="6">
        <f ca="1">VLOOKUP(Q4,Input_Output!$A$57:$B$88,2,FALSE)</f>
        <v>0</v>
      </c>
      <c r="AT4" s="6">
        <f ca="1">Power_RR_fr+Power_RR_rr</f>
        <v>0.15095382561717</v>
      </c>
      <c r="AU4">
        <f ca="1" t="shared" ref="AU4:AU66" si="41">CDA*0.5*rho*Vel_CoM*(Vel_CoM-Rel_airspeed)^2</f>
        <v>0.000561922538040487</v>
      </c>
      <c r="AV4">
        <f ca="1" t="shared" si="13"/>
        <v>17.5454419097618</v>
      </c>
      <c r="AW4">
        <f ca="1">Power_net/Vel_CoM</f>
        <v>140.191863711388</v>
      </c>
      <c r="AX4">
        <f ca="1">F_prop_net/(Mass+(MoI_whl_front/Wheel_radius^2)+(MoI_whl_rear/Wheel_radius^2))</f>
        <v>1.56783942121376</v>
      </c>
      <c r="AY4">
        <f ca="1" t="shared" si="14"/>
        <v>0.442423941447926</v>
      </c>
      <c r="AZ4">
        <f ca="1">IF(D4=D3,AZ3+AY4,AY4)</f>
        <v>0.671116732625833</v>
      </c>
      <c r="BA4" t="b">
        <f ca="1">IF(NOT(C5=C4),C4,FALSE)</f>
        <v>0</v>
      </c>
      <c r="BB4">
        <f ca="1" t="shared" ref="BB4:BB67" si="42">IFERROR(I4/AB4,1000)</f>
        <v>36.116240118198</v>
      </c>
      <c r="BC4">
        <f ca="1" t="shared" si="15"/>
        <v>17.2673524619998</v>
      </c>
      <c r="BE4">
        <f ca="1">P2_CDA_factor*(CDA_delta+IF(t&lt;Time_standing,VLOOKUP(Rider_P2,Input_Output!$G$2:$S$6,13,FALSE),VLOOKUP(Rider_P2,Input_Output!$G$2:$J$6,4,FALSE)))*0.5*rho*Vel_CoM*(Vel_CoM-Rel_airspeed)^2</f>
        <v>0.000401373241457491</v>
      </c>
      <c r="BF4">
        <f ca="1">Power_RR*VLOOKUP(Rider_P2,Input_Output!$G$2:$I$6,3,FALSE)/Mass</f>
        <v>0.137230750561063</v>
      </c>
      <c r="BG4">
        <f ca="1">VLOOKUP(Rider_P2,Input_Output!$G$2:$I$6,3,FALSE)*accel*Vel_CoM</f>
        <v>15.6975931472725</v>
      </c>
      <c r="BH4">
        <f ca="1" t="shared" si="16"/>
        <v>16.2412566882821</v>
      </c>
      <c r="BI4">
        <f ca="1" t="shared" ref="BI4:BI67" si="43">IF(ISLOGICAL(BA3),BH4*dt+BI3,BH4*dt)</f>
        <v>0.615939555466959</v>
      </c>
      <c r="BJ4">
        <f ca="1">P3_CDA_factor*(CDA_delta+IF(t&lt;Time_standing,VLOOKUP(Rider_P3,Input_Output!$G$2:$S$6,13,FALSE),VLOOKUP(Rider_P3,Input_Output!$G$2:$J$6,4,FALSE)))*0.5*rho*Vel_CoM*(Vel_CoM-Rel_airspeed)^2</f>
        <v>0.000344034206963563</v>
      </c>
      <c r="BK4">
        <f ca="1">Power_RR*VLOOKUP(Rider_P3,Input_Output!$G$2:$I$6,3,FALSE)/Mass</f>
        <v>0.15095382561717</v>
      </c>
      <c r="BL4">
        <f ca="1">VLOOKUP(Rider_P3,Input_Output!$G$2:$I$6,3,FALSE)*accel*Vel_CoM</f>
        <v>17.2673524619998</v>
      </c>
      <c r="BM4">
        <f ca="1" t="shared" si="17"/>
        <v>17.8652823813579</v>
      </c>
      <c r="BN4">
        <f ca="1" t="shared" ref="BN4:BN67" si="44">IF(ISLOGICAL(BA3),BM4*dt+BN3,BM4*dt)</f>
        <v>0.677529736619843</v>
      </c>
      <c r="BO4">
        <f ca="1">P4_CDA_factor*(CDA_delta+IF(t&lt;Time_standing,VLOOKUP(Rider_P4,Input_Output!$G$2:$S$6,13,FALSE),VLOOKUP(Rider_P4,Input_Output!$G$2:$J$6,4,FALSE)))*0.5*rho*Vel_CoM*(Vel_CoM-Rel_airspeed)^2</f>
        <v>0.000355502013862349</v>
      </c>
      <c r="BP4">
        <f ca="1">Power_RR*VLOOKUP(Rider_P4,Input_Output!$G$2:$I$6,3,FALSE)/Mass</f>
        <v>0.154384594381196</v>
      </c>
      <c r="BQ4">
        <f ca="1">VLOOKUP(Rider_P4,Input_Output!$G$2:$I$6,3,FALSE)*accel*Vel_CoM</f>
        <v>17.6597922906816</v>
      </c>
      <c r="BR4">
        <f ca="1" t="shared" si="18"/>
        <v>18.2713152687966</v>
      </c>
      <c r="BS4">
        <f ca="1" t="shared" ref="BS4:BS67" si="45">IF(ISLOGICAL(BA3),BR4*dt+BS3,BR4*dt)</f>
        <v>0.692928281012309</v>
      </c>
      <c r="BT4" s="10" t="e">
        <f ca="1" t="shared" si="19"/>
        <v>#DIV/0!</v>
      </c>
      <c r="BU4" t="e">
        <f ca="1" t="shared" si="20"/>
        <v>#DIV/0!</v>
      </c>
      <c r="BV4" t="e">
        <f ca="1">BV3+BU4</f>
        <v>#DIV/0!</v>
      </c>
      <c r="BW4" t="e">
        <f ca="1">IF(BT4-VLOOKUP($BT$2,Input_Output!$G$2:$L$6,6,FALSE)&lt;0,0,BT4-VLOOKUP($BT$2,Input_Output!$G$2:$L$6,6,FALSE))*dt</f>
        <v>#DIV/0!</v>
      </c>
      <c r="BX4" t="e">
        <f ca="1">BX3+BW4</f>
        <v>#DIV/0!</v>
      </c>
      <c r="BY4" t="b">
        <f t="shared" ref="BY4:BY67" si="46">IF(A4&lt;$BY$1,FALSE,TRUE)</f>
        <v>0</v>
      </c>
      <c r="BZ4">
        <f ca="1" t="shared" ref="BZ4:BZ67" si="47">IFERROR(IF(BY4,AVERAGE(OFFSET(BT4,0,0,-(MIN(ROW()-ROW($BT$3)+1,$BY$1)),1)),0),0)</f>
        <v>0</v>
      </c>
      <c r="CA4" t="b">
        <f t="shared" ref="CA4:CA67" si="48">IF(A4&lt;$CA$1,FALSE,TRUE)</f>
        <v>0</v>
      </c>
      <c r="CB4">
        <f ca="1" t="shared" ref="CB4:CB67" si="49">IFERROR(IF(CA4,AVERAGE(OFFSET(BT4,0,0,-(MIN(ROW()-ROW($BT$3)+1,$CA$1)),1)),0),0)</f>
        <v>0</v>
      </c>
      <c r="CC4" t="b">
        <f t="shared" ref="CC4:CC67" si="50">IF(A4&lt;$CC$1,FALSE,TRUE)</f>
        <v>0</v>
      </c>
      <c r="CD4" s="11">
        <f ca="1" t="shared" ref="CD4:CD67" si="51">IFERROR(IF(CC4,AVERAGE(OFFSET(BT4,0,0,-(MIN(ROW()-ROW($BT$3)+1,$CC$1)),1)),0),0)</f>
        <v>0</v>
      </c>
      <c r="CE4">
        <f ca="1" t="shared" si="21"/>
        <v>16.2412566882821</v>
      </c>
      <c r="CF4">
        <f ca="1" t="shared" si="22"/>
        <v>0.406031417207052</v>
      </c>
      <c r="CG4">
        <f ca="1">CG3+CF4</f>
        <v>0.615939555466959</v>
      </c>
      <c r="CH4">
        <f ca="1">IF(CE4-VLOOKUP($CE$2,Input_Output!$G$2:$L$6,6,FALSE)&lt;0,0,CE4-VLOOKUP($CE$2,Input_Output!$G$2:$L$6,6,FALSE))*dt</f>
        <v>0</v>
      </c>
      <c r="CI4">
        <f ca="1">CI3+CH4</f>
        <v>0</v>
      </c>
      <c r="CJ4" t="b">
        <f t="shared" ref="CJ4:CJ67" si="52">IF($A4&lt;CJ$1,FALSE,TRUE)</f>
        <v>0</v>
      </c>
      <c r="CK4">
        <f ca="1" t="shared" ref="CK4:CK67" si="53">IFERROR(IF(CJ4,AVERAGE(OFFSET(CE4,0,0,-(MIN(ROW()-ROW($CE$3)+1,$CJ$1)),1)),0),0)</f>
        <v>0</v>
      </c>
      <c r="CL4" t="b">
        <f t="shared" ref="CL4:CL67" si="54">IF($A4&lt;CL$1,FALSE,TRUE)</f>
        <v>0</v>
      </c>
      <c r="CM4">
        <f ca="1" t="shared" ref="CM4:CM67" si="55">IFERROR(IF(CL4,AVERAGE(OFFSET(CE4,0,0,-(MIN(ROW()-ROW($CE$3)+1,$CL$1)),1)),0),0)</f>
        <v>0</v>
      </c>
      <c r="CN4" t="b">
        <f t="shared" ref="CN4:CN67" si="56">IF($A4&lt;CN$1,FALSE,TRUE)</f>
        <v>0</v>
      </c>
      <c r="CO4" s="11">
        <f ca="1" t="shared" ref="CO4:CO67" si="57">IFERROR(IF(CN4,AVERAGE(OFFSET(CE4,0,0,-(MIN(ROW()-ROW($CE$3)+1,$CN$1)),1)),0),0)</f>
        <v>0</v>
      </c>
      <c r="CP4">
        <f ca="1" t="shared" si="23"/>
        <v>17.8652823813579</v>
      </c>
      <c r="CQ4">
        <f ca="1" t="shared" si="24"/>
        <v>0.446632059533946</v>
      </c>
      <c r="CR4">
        <f ca="1">CR3+CQ4</f>
        <v>0.677529736619843</v>
      </c>
      <c r="CS4">
        <f ca="1">IF(CP4-VLOOKUP($CP$2,Input_Output!$G$2:$L$6,6,FALSE)&lt;0,0,CP4-VLOOKUP($CP$2,Input_Output!$G$2:$L$6,6,FALSE))*dt</f>
        <v>0</v>
      </c>
      <c r="CT4">
        <f ca="1">CT3+CS4</f>
        <v>0</v>
      </c>
      <c r="CU4" t="b">
        <f t="shared" ref="CU4:CU67" si="58">IF($A4&lt;CU$1,FALSE,TRUE)</f>
        <v>0</v>
      </c>
      <c r="CV4">
        <f ca="1" t="shared" ref="CV4:CV67" si="59">IFERROR(IF(CU4,AVERAGE(OFFSET($CP4,0,0,-(MIN(ROW()-ROW($CP$3)+1,$CU$1)),1)),0),0)</f>
        <v>0</v>
      </c>
      <c r="CW4" t="b">
        <f t="shared" ref="CW4:CW67" si="60">IF($A4&lt;CW$1,FALSE,TRUE)</f>
        <v>0</v>
      </c>
      <c r="CX4">
        <f ca="1" t="shared" ref="CX4:CX67" si="61">IFERROR(IF(CW4,AVERAGE(OFFSET($CP4,0,0,-(MIN(ROW()-ROW($CP$3)+1,$CW$1)),1)),0),0)</f>
        <v>0</v>
      </c>
      <c r="CY4" t="b">
        <f t="shared" ref="CY4:CY67" si="62">IF($A4&lt;CY$1,FALSE,TRUE)</f>
        <v>0</v>
      </c>
      <c r="CZ4" s="11">
        <f ca="1" t="shared" ref="CZ4:CZ67" si="63">IFERROR(IF(CY4,AVERAGE(OFFSET($CP4,0,0,-(MIN(ROW()-ROW($CP$3)+1,$CY$1)),1)),0),0)</f>
        <v>0</v>
      </c>
      <c r="DA4">
        <f ca="1" t="shared" si="25"/>
        <v>18.2713152687966</v>
      </c>
      <c r="DB4">
        <f ca="1" t="shared" si="26"/>
        <v>0.456782881719914</v>
      </c>
      <c r="DC4">
        <f ca="1">DC3+DB4</f>
        <v>0.692928281012309</v>
      </c>
      <c r="DD4">
        <f ca="1">IF(DA4-VLOOKUP($DA$2,Input_Output!$G$2:$L$6,6,FALSE)&lt;0,0,DA4-VLOOKUP($DA$2,Input_Output!$G$2:$L$6,6,FALSE))*dt</f>
        <v>0</v>
      </c>
      <c r="DE4">
        <f ca="1">DE3+DD4</f>
        <v>0</v>
      </c>
      <c r="DF4" t="b">
        <f t="shared" ref="DF4:DF67" si="64">IF($A4&lt;DF$1,FALSE,TRUE)</f>
        <v>0</v>
      </c>
      <c r="DG4">
        <f ca="1">IFERROR(IF(DF4,AVERAGE(OFFSET($DA4,0,0,-(MIN(ROW()-ROW($DA$3)+1,$DF$1)),1)),0),0)</f>
        <v>0</v>
      </c>
      <c r="DH4" t="b">
        <f t="shared" ref="DH4:DH67" si="65">IF($A4&lt;DH$1,FALSE,TRUE)</f>
        <v>0</v>
      </c>
      <c r="DI4">
        <f ca="1">IFERROR(IF(DH4,AVERAGE(OFFSET($DA4,0,0,-(MIN(ROW()-ROW($DA$3)+1,$DH$1)),1)),0),0)</f>
        <v>0</v>
      </c>
      <c r="DJ4" t="b">
        <f t="shared" ref="DJ4:DJ67" si="66">IF($A4&lt;DJ$1,FALSE,TRUE)</f>
        <v>0</v>
      </c>
      <c r="DK4" s="11">
        <f ca="1">IFERROR(IF(DJ4,AVERAGE(OFFSET($DA4,0,0,-(MIN(ROW()-ROW($DA$3)+1,$DJ$1)),1)),0),0)</f>
        <v>0</v>
      </c>
    </row>
    <row r="5" spans="1:115">
      <c r="A5">
        <v>3</v>
      </c>
      <c r="B5">
        <f t="shared" si="27"/>
        <v>0.075</v>
      </c>
      <c r="C5" t="str">
        <f ca="1">IF(O4&gt;P4,VLOOKUP(Calcs!C4,Input_Output!$AN$11:$AS$30,6,FALSE),C4)</f>
        <v>A1</v>
      </c>
      <c r="D5" t="str">
        <f ca="1" t="shared" ref="D5:D13" si="67">LEFT(C5)</f>
        <v>A</v>
      </c>
      <c r="E5" t="str">
        <f ca="1">VLOOKUP(D5,Input_Output!$B$2:$E$5,2,FALSE)</f>
        <v>E</v>
      </c>
      <c r="F5" t="str">
        <f ca="1">VLOOKUP(D5,Input_Output!$B$2:$E$5,3,FALSE)</f>
        <v>D</v>
      </c>
      <c r="G5" t="str">
        <f ca="1">VLOOKUP(D5,Input_Output!$B$2:$E$5,4,FALSE)</f>
        <v>B</v>
      </c>
      <c r="H5" s="9">
        <f ca="1">IFERROR(IF(NOT(C5=C4),VLOOKUP(C4,Input_Output!$AN$11:$AV$30,9,FALSE)+O4+O5+(N5*dt),H4+(N5*dt)),tot_dist_end+10)</f>
        <v>0.00812882671033853</v>
      </c>
      <c r="I5" s="6">
        <f ca="1" t="array" ref="I5">IF(OR(Q5=1,Q5=2),Starter_power_increment,Power_increment)+IF(OR(Q5=1,Q5=2),IF(Lap1profile="Male",laponepm(B5),laponepf(B5)),VLOOKUP(_xlfn.SINGLE(Rider_P1),Input_Output!$G$2:$P$6,(7+J5),FALSE))*Efficiency</f>
        <v>26.2004678040884</v>
      </c>
      <c r="J5" s="21" t="str">
        <f ca="1" t="shared" ref="J5:J13" si="68">RIGHT(C5)</f>
        <v>1</v>
      </c>
      <c r="K5">
        <f ca="1" t="shared" si="29"/>
        <v>0.164349053941521</v>
      </c>
      <c r="L5">
        <f ca="1" t="shared" si="30"/>
        <v>0.00410872634853803</v>
      </c>
      <c r="M5">
        <f ca="1" t="shared" si="31"/>
        <v>0.00812882671033853</v>
      </c>
      <c r="N5">
        <f ca="1">(M5-M4)/dt</f>
        <v>0.125153068412491</v>
      </c>
      <c r="O5" s="22">
        <f ca="1" t="shared" si="33"/>
        <v>0.00812882671033853</v>
      </c>
      <c r="P5" s="8">
        <f ca="1">VLOOKUP(C5,Input_Output!$AN$11:$AT$30,7,FALSE)</f>
        <v>565.333629702347</v>
      </c>
      <c r="Q5" s="27">
        <f ca="1">IF(H5&gt;R4,Q4+1,Q4)</f>
        <v>1</v>
      </c>
      <c r="R5" s="6">
        <f ca="1">VLOOKUP(Q5,Input_Output!$AH$11:$AI$43,2,FALSE)</f>
        <v>125.62969548941</v>
      </c>
      <c r="S5" s="27" t="b">
        <f ca="1" t="shared" ref="S5:S13" si="69">IF(R6&gt;R5,Q5,FALSE)</f>
        <v>0</v>
      </c>
      <c r="T5" s="12" t="str">
        <f ca="1" t="shared" ref="T5:T13" si="70">IF(S5,B5+((R5-H5)/Vel_whls)," ")</f>
        <v> </v>
      </c>
      <c r="U5" s="12">
        <f ca="1" t="shared" si="2"/>
        <v>0.00812882671070802</v>
      </c>
      <c r="V5" s="28">
        <f ca="1" t="shared" si="34"/>
        <v>6.47046598261731e-5</v>
      </c>
      <c r="W5" s="8">
        <f ca="1">VLOOKUP(V5,Track_geometry_lookup!$A$3:$E$1003,2,TRUE)</f>
        <v>10000</v>
      </c>
      <c r="X5" s="12">
        <f ca="1">VLOOKUP(V5,Track_geometry_lookup!$A$3:$E$1003,3,TRUE)</f>
        <v>0.225147473507269</v>
      </c>
      <c r="Y5" s="12">
        <f ca="1">IF(Vel_whls&lt;6,0,(RADIANS(90)-(VLOOKUP(W5,Lean_angle_lookup!$A$3:$AP$244,VLOOKUP(Vel_whls,Lean_angle_lookup!$AU$3:$AV$48,2,TRUE),TRUE))))</f>
        <v>0</v>
      </c>
      <c r="Z5" s="6">
        <f ca="1">VLOOKUP(Rider_P1,Input_Output!$G$2:$K$6,5,FALSE)</f>
        <v>1.03</v>
      </c>
      <c r="AA5" s="8">
        <f ca="1">Static_mass_delta+VLOOKUP(Rider_P1,Input_Output!$G$2:$I$6,3,FALSE)</f>
        <v>88</v>
      </c>
      <c r="AB5" s="12">
        <f ca="1">P1_CDA_factor*(CDA_delta+IF(t&lt;Time_standing,VLOOKUP(Rider_P1,Input_Output!$G$2:$S$6,13,FALSE),VLOOKUP(Rider_P1,Input_Output!$G$2:$J$6,4,FALSE)))</f>
        <v>0.49</v>
      </c>
      <c r="AC5" s="12">
        <f ca="1" t="shared" si="3"/>
        <v>1.59650124507e-7</v>
      </c>
      <c r="AD5" s="12">
        <f ca="1" t="shared" ref="AD5:AD13" si="71">ATAN(Vel_whls^2*(Turn_radius_lookup-Seat_height_1*SIN(AC5))/(9.81*Turn_radius_lookup^2))</f>
        <v>1.59666570161101e-7</v>
      </c>
      <c r="AE5" s="12">
        <f ca="1" t="shared" ref="AE5:AE13" si="72">ATAN(Vel_whls^2*(Turn_radius_lookup-Seat_height_1*SIN(AD5))/(9.81*Turn_radius_lookup^2))</f>
        <v>1.59666570161101e-7</v>
      </c>
      <c r="AF5" s="6">
        <f ca="1" t="shared" ref="AF5:AF17" si="73">DEGREES(AE5)</f>
        <v>9.14822059956053e-6</v>
      </c>
      <c r="AG5" s="8">
        <f ca="1" t="shared" ref="AG5:AG17" si="74">90-AF5</f>
        <v>89.9999908517794</v>
      </c>
      <c r="AH5" s="6">
        <f ca="1" t="shared" ref="AH5:AH13" si="75">Turn_radius_lookup-(Seat_height_1*SIN(AE5))</f>
        <v>9999.99999983554</v>
      </c>
      <c r="AI5" s="9">
        <f ca="1" t="shared" si="37"/>
        <v>1.25153068412491e-5</v>
      </c>
      <c r="AJ5">
        <f ca="1" t="shared" si="6"/>
        <v>863.280000000027</v>
      </c>
      <c r="AK5" s="6">
        <f ca="1" t="shared" si="7"/>
        <v>345.312000000011</v>
      </c>
      <c r="AL5" s="6">
        <f ca="1" t="shared" si="8"/>
        <v>517.968000000016</v>
      </c>
      <c r="AM5" s="6">
        <f ca="1" t="shared" si="9"/>
        <v>0.60381528930445</v>
      </c>
      <c r="AN5" s="6">
        <f ca="1" t="shared" si="10"/>
        <v>0.905722933956675</v>
      </c>
      <c r="AO5" s="6">
        <f ca="1" t="shared" si="38"/>
        <v>0.0755693362108281</v>
      </c>
      <c r="AP5" s="6">
        <f ca="1" t="shared" si="11"/>
        <v>0.113354004316242</v>
      </c>
      <c r="AQ5" s="8">
        <f ca="1" t="shared" ref="AQ5:AQ13" si="76">90-DEGREES(X5)</f>
        <v>77.1</v>
      </c>
      <c r="AR5" s="6">
        <f ca="1" t="shared" ref="AR5:AR13" si="77">ABS(AG5-AQ5)</f>
        <v>12.8999908517794</v>
      </c>
      <c r="AS5" s="6">
        <f ca="1">VLOOKUP(Q5,Input_Output!$A$57:$B$88,2,FALSE)</f>
        <v>0</v>
      </c>
      <c r="AT5" s="6">
        <f ca="1" t="shared" si="12"/>
        <v>0.18892334052707</v>
      </c>
      <c r="AU5">
        <f ca="1" t="shared" si="41"/>
        <v>0.00127248763664528</v>
      </c>
      <c r="AV5">
        <f ca="1" t="shared" si="13"/>
        <v>26.0102719759247</v>
      </c>
      <c r="AW5">
        <f ca="1" t="shared" ref="AW5:AW66" si="78">Power_net/Vel_CoM</f>
        <v>158.262377252136</v>
      </c>
      <c r="AX5">
        <f ca="1" t="shared" ref="AX5:AX66" si="79">F_prop_net/(Mass+(MoI_whl_front/Wheel_radius^2)+(MoI_whl_rear/Wheel_radius^2))</f>
        <v>1.76993148804788</v>
      </c>
      <c r="AY5">
        <f ca="1" t="shared" ref="AY5:AY13" si="80">I5*dt</f>
        <v>0.655011695102211</v>
      </c>
      <c r="AZ5">
        <f ca="1" t="shared" ref="AZ5:AZ13" si="81">IF(D5=D4,AZ4+AY5,AY5)</f>
        <v>1.32612842772804</v>
      </c>
      <c r="BA5" t="b">
        <f ca="1" t="shared" ref="BA5:BA13" si="82">IF(NOT(C6=C5),C5,FALSE)</f>
        <v>0</v>
      </c>
      <c r="BB5">
        <f ca="1" t="shared" ref="BB5:BB13" si="83">IFERROR(I5/AB5,1000)</f>
        <v>53.4703424573233</v>
      </c>
      <c r="BC5">
        <f ca="1" t="shared" si="15"/>
        <v>25.5980177729741</v>
      </c>
      <c r="BE5">
        <f ca="1">P2_CDA_factor*(CDA_delta+IF(t&lt;Time_standing,VLOOKUP(Rider_P2,Input_Output!$G$2:$S$6,13,FALSE),VLOOKUP(Rider_P2,Input_Output!$G$2:$J$6,4,FALSE)))*0.5*rho*Vel_CoM*(Vel_CoM-Rel_airspeed)^2</f>
        <v>0.000908919740460913</v>
      </c>
      <c r="BF5">
        <f ca="1">Power_RR*VLOOKUP(Rider_P2,Input_Output!$G$2:$I$6,3,FALSE)/Mass</f>
        <v>0.171748491388246</v>
      </c>
      <c r="BG5">
        <f ca="1">VLOOKUP(Rider_P2,Input_Output!$G$2:$I$6,3,FALSE)*accel*Vel_CoM</f>
        <v>23.2709252481583</v>
      </c>
      <c r="BH5">
        <f ca="1" t="shared" ref="BH5:BH13" si="84">SUM(BE5:BG5)/Efficiency</f>
        <v>24.0447001633712</v>
      </c>
      <c r="BI5">
        <f ca="1" t="shared" ref="BI5:BI13" si="85">IF(ISLOGICAL(BA4),BH5*dt+BI4,BH5*dt)</f>
        <v>1.21705705955124</v>
      </c>
      <c r="BJ5">
        <f ca="1">P3_CDA_factor*(CDA_delta+IF(t&lt;Time_standing,VLOOKUP(Rider_P3,Input_Output!$G$2:$S$6,13,FALSE),VLOOKUP(Rider_P3,Input_Output!$G$2:$J$6,4,FALSE)))*0.5*rho*Vel_CoM*(Vel_CoM-Rel_airspeed)^2</f>
        <v>0.000779074063252211</v>
      </c>
      <c r="BK5">
        <f ca="1">Power_RR*VLOOKUP(Rider_P3,Input_Output!$G$2:$I$6,3,FALSE)/Mass</f>
        <v>0.18892334052707</v>
      </c>
      <c r="BL5">
        <f ca="1">VLOOKUP(Rider_P3,Input_Output!$G$2:$I$6,3,FALSE)*accel*Vel_CoM</f>
        <v>25.5980177729741</v>
      </c>
      <c r="BM5">
        <f ca="1" t="shared" ref="BM5:BM13" si="86">SUM(BJ5:BL5)/Efficiency</f>
        <v>26.4489437821173</v>
      </c>
      <c r="BN5">
        <f ca="1" t="shared" ref="BN5:BN13" si="87">IF(ISLOGICAL(BA4),BM5*dt+BN4,BM5*dt)</f>
        <v>1.33875333117278</v>
      </c>
      <c r="BO5">
        <f ca="1">P4_CDA_factor*(CDA_delta+IF(t&lt;Time_standing,VLOOKUP(Rider_P4,Input_Output!$G$2:$S$6,13,FALSE),VLOOKUP(Rider_P4,Input_Output!$G$2:$J$6,4,FALSE)))*0.5*rho*Vel_CoM*(Vel_CoM-Rel_airspeed)^2</f>
        <v>0.000805043198693951</v>
      </c>
      <c r="BP5">
        <f ca="1">Power_RR*VLOOKUP(Rider_P4,Input_Output!$G$2:$I$6,3,FALSE)/Mass</f>
        <v>0.193217052811776</v>
      </c>
      <c r="BQ5">
        <f ca="1">VLOOKUP(Rider_P4,Input_Output!$G$2:$I$6,3,FALSE)*accel*Vel_CoM</f>
        <v>26.179790904178</v>
      </c>
      <c r="BR5">
        <f ca="1" t="shared" ref="BR5:BR13" si="88">SUM(BO5:BQ5)/Efficiency</f>
        <v>27.050064615578</v>
      </c>
      <c r="BS5">
        <f ca="1" t="shared" ref="BS5:BS13" si="89">IF(ISLOGICAL(BA4),BR5*dt+BS4,BR5*dt)</f>
        <v>1.36917989640176</v>
      </c>
      <c r="BT5" s="10" t="e">
        <f ca="1" t="shared" si="19"/>
        <v>#DIV/0!</v>
      </c>
      <c r="BU5" t="e">
        <f ca="1" t="shared" si="20"/>
        <v>#DIV/0!</v>
      </c>
      <c r="BV5" t="e">
        <f ca="1" t="shared" ref="BV5:BV13" si="90">BV4+BU5</f>
        <v>#DIV/0!</v>
      </c>
      <c r="BW5" t="e">
        <f ca="1">IF(BT5-VLOOKUP($BT$2,Input_Output!$G$2:$L$6,6,FALSE)&lt;0,0,BT5-VLOOKUP($BT$2,Input_Output!$G$2:$L$6,6,FALSE))*dt</f>
        <v>#DIV/0!</v>
      </c>
      <c r="BX5" t="e">
        <f ca="1" t="shared" ref="BX5:BX68" si="91">BX4+BW5</f>
        <v>#DIV/0!</v>
      </c>
      <c r="BY5" t="b">
        <f t="shared" si="46"/>
        <v>0</v>
      </c>
      <c r="BZ5">
        <f ca="1" t="shared" si="47"/>
        <v>0</v>
      </c>
      <c r="CA5" t="b">
        <f t="shared" si="48"/>
        <v>0</v>
      </c>
      <c r="CB5">
        <f ca="1" t="shared" si="49"/>
        <v>0</v>
      </c>
      <c r="CC5" t="b">
        <f t="shared" si="50"/>
        <v>0</v>
      </c>
      <c r="CD5" s="11">
        <f ca="1" t="shared" si="51"/>
        <v>0</v>
      </c>
      <c r="CE5">
        <f ca="1" t="shared" si="21"/>
        <v>24.0447001633712</v>
      </c>
      <c r="CF5">
        <f ca="1" t="shared" si="22"/>
        <v>0.601117504084281</v>
      </c>
      <c r="CG5">
        <f ca="1" t="shared" ref="CG5:CG13" si="92">CG4+CF5</f>
        <v>1.21705705955124</v>
      </c>
      <c r="CH5">
        <f ca="1">IF(CE5-VLOOKUP($CE$2,Input_Output!$G$2:$L$6,6,FALSE)&lt;0,0,CE5-VLOOKUP($CE$2,Input_Output!$G$2:$L$6,6,FALSE))*dt</f>
        <v>0</v>
      </c>
      <c r="CI5">
        <f ca="1" t="shared" ref="CI5:CI68" si="93">CI4+CH5</f>
        <v>0</v>
      </c>
      <c r="CJ5" t="b">
        <f t="shared" si="52"/>
        <v>0</v>
      </c>
      <c r="CK5">
        <f ca="1" t="shared" si="53"/>
        <v>0</v>
      </c>
      <c r="CL5" t="b">
        <f t="shared" si="54"/>
        <v>0</v>
      </c>
      <c r="CM5">
        <f ca="1" t="shared" si="55"/>
        <v>0</v>
      </c>
      <c r="CN5" t="b">
        <f t="shared" si="56"/>
        <v>0</v>
      </c>
      <c r="CO5" s="11">
        <f ca="1" t="shared" si="57"/>
        <v>0</v>
      </c>
      <c r="CP5">
        <f ca="1" t="shared" si="23"/>
        <v>26.4489437821173</v>
      </c>
      <c r="CQ5">
        <f ca="1" t="shared" si="24"/>
        <v>0.661223594552934</v>
      </c>
      <c r="CR5">
        <f ca="1" t="shared" ref="CR5:CR13" si="94">CR4+CQ5</f>
        <v>1.33875333117278</v>
      </c>
      <c r="CS5">
        <f ca="1">IF(CP5-VLOOKUP($CP$2,Input_Output!$G$2:$L$6,6,FALSE)&lt;0,0,CP5-VLOOKUP($CP$2,Input_Output!$G$2:$L$6,6,FALSE))*dt</f>
        <v>0</v>
      </c>
      <c r="CT5">
        <f ca="1" t="shared" ref="CT5:CT68" si="95">CT4+CS5</f>
        <v>0</v>
      </c>
      <c r="CU5" t="b">
        <f t="shared" si="58"/>
        <v>0</v>
      </c>
      <c r="CV5">
        <f ca="1" t="shared" si="59"/>
        <v>0</v>
      </c>
      <c r="CW5" t="b">
        <f t="shared" si="60"/>
        <v>0</v>
      </c>
      <c r="CX5">
        <f ca="1" t="shared" si="61"/>
        <v>0</v>
      </c>
      <c r="CY5" t="b">
        <f t="shared" si="62"/>
        <v>0</v>
      </c>
      <c r="CZ5" s="11">
        <f ca="1" t="shared" si="63"/>
        <v>0</v>
      </c>
      <c r="DA5">
        <f ca="1" t="shared" si="25"/>
        <v>27.050064615578</v>
      </c>
      <c r="DB5">
        <f ca="1" t="shared" si="26"/>
        <v>0.676251615389449</v>
      </c>
      <c r="DC5">
        <f ca="1" t="shared" ref="DC5:DC13" si="96">DC4+DB5</f>
        <v>1.36917989640176</v>
      </c>
      <c r="DD5">
        <f ca="1">IF(DA5-VLOOKUP($DA$2,Input_Output!$G$2:$L$6,6,FALSE)&lt;0,0,DA5-VLOOKUP($DA$2,Input_Output!$G$2:$L$6,6,FALSE))*dt</f>
        <v>0</v>
      </c>
      <c r="DE5">
        <f ca="1" t="shared" ref="DE5:DE68" si="97">DE4+DD5</f>
        <v>0</v>
      </c>
      <c r="DF5" t="b">
        <f t="shared" si="64"/>
        <v>0</v>
      </c>
      <c r="DG5">
        <f ca="1" t="shared" ref="DG5:DG68" si="98">IFERROR(IF(DF5,AVERAGE(OFFSET($DA5,0,0,-(MIN(ROW()-ROW($DA$3)+1,$DF$1)),1)),0),0)</f>
        <v>0</v>
      </c>
      <c r="DH5" t="b">
        <f t="shared" si="65"/>
        <v>0</v>
      </c>
      <c r="DI5">
        <f ca="1" t="shared" ref="DI5:DI68" si="99">IFERROR(IF(DH5,AVERAGE(OFFSET($DA5,0,0,-(MIN(ROW()-ROW($DA$3)+1,$DH$1)),1)),0),0)</f>
        <v>0</v>
      </c>
      <c r="DJ5" t="b">
        <f t="shared" si="66"/>
        <v>0</v>
      </c>
      <c r="DK5" s="11">
        <f ca="1" t="shared" ref="DK5:DK68" si="100">IFERROR(IF(DJ5,AVERAGE(OFFSET($DA5,0,0,-(MIN(ROW()-ROW($DA$3)+1,$DJ$1)),1)),0),0)</f>
        <v>0</v>
      </c>
    </row>
    <row r="6" spans="1:115">
      <c r="A6">
        <v>4</v>
      </c>
      <c r="B6">
        <f t="shared" si="27"/>
        <v>0.1</v>
      </c>
      <c r="C6" t="str">
        <f ca="1">IF(O5&gt;P5,VLOOKUP(Calcs!C5,Input_Output!$AN$11:$AS$30,6,FALSE),C5)</f>
        <v>A1</v>
      </c>
      <c r="D6" t="str">
        <f ca="1" t="shared" si="67"/>
        <v>A</v>
      </c>
      <c r="E6" t="str">
        <f ca="1">VLOOKUP(D6,Input_Output!$B$2:$E$5,2,FALSE)</f>
        <v>E</v>
      </c>
      <c r="F6" t="str">
        <f ca="1">VLOOKUP(D6,Input_Output!$B$2:$E$5,3,FALSE)</f>
        <v>D</v>
      </c>
      <c r="G6" t="str">
        <f ca="1">VLOOKUP(D6,Input_Output!$B$2:$E$5,4,FALSE)</f>
        <v>B</v>
      </c>
      <c r="H6" s="9">
        <f ca="1">IFERROR(IF(NOT(C6=C5),VLOOKUP(C5,Input_Output!$AN$11:$AV$30,9,FALSE)+O5+O6+(N6*dt),H5+(N6*dt)),tot_dist_end+10)</f>
        <v>0.0122375530589441</v>
      </c>
      <c r="I6" s="6">
        <f ca="1" t="array" ref="I6">IF(OR(Q6=1,Q6=2),Starter_power_increment,Power_increment)+IF(OR(Q6=1,Q6=2),IF(Lap1profile="Male",laponepm(B6),laponepf(B6)),VLOOKUP(_xlfn.SINGLE(Rider_P1),Input_Output!$G$2:$P$6,(7+J6),FALSE))*Efficiency</f>
        <v>34.6584013783064</v>
      </c>
      <c r="J6" s="21" t="str">
        <f ca="1" t="shared" si="68"/>
        <v>1</v>
      </c>
      <c r="K6">
        <f ca="1" t="shared" si="29"/>
        <v>0.208597341142718</v>
      </c>
      <c r="L6">
        <f ca="1" t="shared" si="30"/>
        <v>0.00521493352856796</v>
      </c>
      <c r="M6">
        <f ca="1" t="shared" si="31"/>
        <v>0.0122375530589441</v>
      </c>
      <c r="N6">
        <f ca="1" t="shared" ref="N5:N13" si="101">(M6-M5)/dt</f>
        <v>0.164349053944224</v>
      </c>
      <c r="O6" s="22">
        <f ca="1">IF(NOT(C6=C5),(N6*dt)-Bike_length-Spacing,O5+(N6*dt))</f>
        <v>0.0122375530589441</v>
      </c>
      <c r="P6" s="8">
        <f ca="1">VLOOKUP(C6,Input_Output!$AN$11:$AT$30,7,FALSE)</f>
        <v>565.333629702347</v>
      </c>
      <c r="Q6" s="27">
        <f ca="1" t="shared" ref="Q6:Q13" si="102">IF(H6&gt;R5,Q5+1,Q5)</f>
        <v>1</v>
      </c>
      <c r="R6" s="6">
        <f ca="1">VLOOKUP(Q6,Input_Output!$AH$11:$AI$43,2,FALSE)</f>
        <v>125.62969548941</v>
      </c>
      <c r="S6" s="27" t="b">
        <f ca="1" t="shared" si="69"/>
        <v>0</v>
      </c>
      <c r="T6" s="12" t="str">
        <f ca="1" t="shared" si="70"/>
        <v> </v>
      </c>
      <c r="U6" s="12">
        <f ca="1" t="shared" si="2"/>
        <v>0.0122375530593136</v>
      </c>
      <c r="V6" s="28">
        <f ca="1" t="shared" si="34"/>
        <v>9.74097168001586e-5</v>
      </c>
      <c r="W6" s="8">
        <f ca="1">VLOOKUP(V6,Track_geometry_lookup!$A$3:$E$1003,2,TRUE)</f>
        <v>10000</v>
      </c>
      <c r="X6" s="12">
        <f ca="1">VLOOKUP(V6,Track_geometry_lookup!$A$3:$E$1003,3,TRUE)</f>
        <v>0.225147473507269</v>
      </c>
      <c r="Y6" s="12">
        <f ca="1">IF(Vel_whls&lt;6,0,(RADIANS(90)-(VLOOKUP(W6,Lean_angle_lookup!$A$3:$AP$244,VLOOKUP(Vel_whls,Lean_angle_lookup!$AU$3:$AV$48,2,TRUE),TRUE))))</f>
        <v>0</v>
      </c>
      <c r="Z6" s="6">
        <f ca="1">VLOOKUP(Rider_P1,Input_Output!$G$2:$K$6,5,FALSE)</f>
        <v>1.03</v>
      </c>
      <c r="AA6" s="8">
        <f ca="1">Static_mass_delta+VLOOKUP(Rider_P1,Input_Output!$G$2:$I$6,3,FALSE)</f>
        <v>88</v>
      </c>
      <c r="AB6" s="12">
        <f ca="1">P1_CDA_factor*(CDA_delta+IF(t&lt;Time_standing,VLOOKUP(Rider_P1,Input_Output!$G$2:$S$6,13,FALSE),VLOOKUP(Rider_P1,Input_Output!$G$2:$J$6,4,FALSE)))</f>
        <v>0.49</v>
      </c>
      <c r="AC6" s="12">
        <f ca="1" t="shared" si="3"/>
        <v>2.75309168597074e-7</v>
      </c>
      <c r="AD6" s="12">
        <f ca="1" t="shared" si="71"/>
        <v>2.75337528354688e-7</v>
      </c>
      <c r="AE6" s="12">
        <f ca="1" t="shared" si="72"/>
        <v>2.75337528354687e-7</v>
      </c>
      <c r="AF6" s="6">
        <f ca="1" t="shared" si="73"/>
        <v>1.57756783162872e-5</v>
      </c>
      <c r="AG6" s="8">
        <f ca="1" t="shared" si="74"/>
        <v>89.9999842243217</v>
      </c>
      <c r="AH6" s="6">
        <f ca="1" t="shared" si="75"/>
        <v>9999.9999997164</v>
      </c>
      <c r="AI6" s="9">
        <f ca="1" t="shared" si="37"/>
        <v>1.64349053944224e-5</v>
      </c>
      <c r="AJ6">
        <f ca="1" t="shared" si="6"/>
        <v>863.280000000073</v>
      </c>
      <c r="AK6" s="6">
        <f ca="1" t="shared" si="7"/>
        <v>345.312000000029</v>
      </c>
      <c r="AL6" s="6">
        <f ca="1" t="shared" si="8"/>
        <v>517.968000000044</v>
      </c>
      <c r="AM6" s="6">
        <f ca="1" t="shared" si="9"/>
        <v>0.603815262940494</v>
      </c>
      <c r="AN6" s="6">
        <f ca="1" t="shared" si="10"/>
        <v>0.90572289441074</v>
      </c>
      <c r="AO6" s="6">
        <f ca="1" t="shared" si="38"/>
        <v>0.0992364672213531</v>
      </c>
      <c r="AP6" s="6">
        <f ca="1" t="shared" si="11"/>
        <v>0.14885470083203</v>
      </c>
      <c r="AQ6" s="8">
        <f ca="1" t="shared" si="76"/>
        <v>77.1</v>
      </c>
      <c r="AR6" s="6">
        <f ca="1" t="shared" si="77"/>
        <v>12.8999842243217</v>
      </c>
      <c r="AS6" s="6">
        <f ca="1">VLOOKUP(Q6,Input_Output!$A$57:$B$88,2,FALSE)</f>
        <v>0</v>
      </c>
      <c r="AT6" s="6">
        <f ca="1" t="shared" si="12"/>
        <v>0.248091168053383</v>
      </c>
      <c r="AU6">
        <f ca="1" t="shared" si="41"/>
        <v>0.00260182601313335</v>
      </c>
      <c r="AV6">
        <f ca="1" t="shared" si="13"/>
        <v>34.4077083842399</v>
      </c>
      <c r="AW6">
        <f ca="1" t="shared" si="78"/>
        <v>164.947971991162</v>
      </c>
      <c r="AX6">
        <f ca="1" t="shared" si="79"/>
        <v>1.84470001389958</v>
      </c>
      <c r="AY6">
        <f ca="1" t="shared" si="80"/>
        <v>0.86646003445766</v>
      </c>
      <c r="AZ6">
        <f ca="1" t="shared" si="81"/>
        <v>2.1925884621857</v>
      </c>
      <c r="BA6" t="b">
        <f ca="1" t="shared" si="82"/>
        <v>0</v>
      </c>
      <c r="BB6">
        <f ca="1" t="shared" si="83"/>
        <v>70.7314313842988</v>
      </c>
      <c r="BC6">
        <f ca="1" t="shared" si="15"/>
        <v>33.8623575932742</v>
      </c>
      <c r="BE6">
        <f ca="1">P2_CDA_factor*(CDA_delta+IF(t&lt;Time_standing,VLOOKUP(Rider_P2,Input_Output!$G$2:$S$6,13,FALSE),VLOOKUP(Rider_P2,Input_Output!$G$2:$J$6,4,FALSE)))*0.5*rho*Vel_CoM*(Vel_CoM-Rel_airspeed)^2</f>
        <v>0.00185844715223811</v>
      </c>
      <c r="BF6">
        <f ca="1">Power_RR*VLOOKUP(Rider_P2,Input_Output!$G$2:$I$6,3,FALSE)/Mass</f>
        <v>0.225537425503075</v>
      </c>
      <c r="BG6">
        <f ca="1">VLOOKUP(Rider_P2,Input_Output!$G$2:$I$6,3,FALSE)*accel*Vel_CoM</f>
        <v>30.7839614484311</v>
      </c>
      <c r="BH6">
        <f ca="1" t="shared" si="84"/>
        <v>31.8065203293194</v>
      </c>
      <c r="BI6">
        <f ca="1" t="shared" si="85"/>
        <v>2.01222006778422</v>
      </c>
      <c r="BJ6">
        <f ca="1">P3_CDA_factor*(CDA_delta+IF(t&lt;Time_standing,VLOOKUP(Rider_P3,Input_Output!$G$2:$S$6,13,FALSE),VLOOKUP(Rider_P3,Input_Output!$G$2:$J$6,4,FALSE)))*0.5*rho*Vel_CoM*(Vel_CoM-Rel_airspeed)^2</f>
        <v>0.00159295470191838</v>
      </c>
      <c r="BK6">
        <f ca="1">Power_RR*VLOOKUP(Rider_P3,Input_Output!$G$2:$I$6,3,FALSE)/Mass</f>
        <v>0.248091168053383</v>
      </c>
      <c r="BL6">
        <f ca="1">VLOOKUP(Rider_P3,Input_Output!$G$2:$I$6,3,FALSE)*accel*Vel_CoM</f>
        <v>33.8623575932742</v>
      </c>
      <c r="BM6">
        <f ca="1" t="shared" si="86"/>
        <v>34.9867094523379</v>
      </c>
      <c r="BN6">
        <f ca="1" t="shared" si="87"/>
        <v>2.21342106748123</v>
      </c>
      <c r="BO6">
        <f ca="1">P4_CDA_factor*(CDA_delta+IF(t&lt;Time_standing,VLOOKUP(Rider_P4,Input_Output!$G$2:$S$6,13,FALSE),VLOOKUP(Rider_P4,Input_Output!$G$2:$J$6,4,FALSE)))*0.5*rho*Vel_CoM*(Vel_CoM-Rel_airspeed)^2</f>
        <v>0.00164605319198232</v>
      </c>
      <c r="BP6">
        <f ca="1">Power_RR*VLOOKUP(Rider_P4,Input_Output!$G$2:$I$6,3,FALSE)/Mass</f>
        <v>0.25372960369096</v>
      </c>
      <c r="BQ6">
        <f ca="1">VLOOKUP(Rider_P4,Input_Output!$G$2:$I$6,3,FALSE)*accel*Vel_CoM</f>
        <v>34.631956629485</v>
      </c>
      <c r="BR6">
        <f ca="1" t="shared" si="88"/>
        <v>35.7818792680697</v>
      </c>
      <c r="BS6">
        <f ca="1" t="shared" si="89"/>
        <v>2.2637268781035</v>
      </c>
      <c r="BT6" s="10" t="e">
        <f ca="1" t="shared" si="19"/>
        <v>#DIV/0!</v>
      </c>
      <c r="BU6" t="e">
        <f ca="1" t="shared" si="20"/>
        <v>#DIV/0!</v>
      </c>
      <c r="BV6" t="e">
        <f ca="1" t="shared" si="90"/>
        <v>#DIV/0!</v>
      </c>
      <c r="BW6" t="e">
        <f ca="1">IF(BT6-VLOOKUP($BT$2,Input_Output!$G$2:$L$6,6,FALSE)&lt;0,0,BT6-VLOOKUP($BT$2,Input_Output!$G$2:$L$6,6,FALSE))*dt</f>
        <v>#DIV/0!</v>
      </c>
      <c r="BX6" t="e">
        <f ca="1" t="shared" si="91"/>
        <v>#DIV/0!</v>
      </c>
      <c r="BY6" t="b">
        <f t="shared" si="46"/>
        <v>0</v>
      </c>
      <c r="BZ6">
        <f ca="1" t="shared" si="47"/>
        <v>0</v>
      </c>
      <c r="CA6" t="b">
        <f t="shared" si="48"/>
        <v>0</v>
      </c>
      <c r="CB6">
        <f ca="1" t="shared" si="49"/>
        <v>0</v>
      </c>
      <c r="CC6" t="b">
        <f t="shared" si="50"/>
        <v>0</v>
      </c>
      <c r="CD6" s="11">
        <f ca="1" t="shared" si="51"/>
        <v>0</v>
      </c>
      <c r="CE6">
        <f ca="1" t="shared" si="21"/>
        <v>31.8065203293194</v>
      </c>
      <c r="CF6">
        <f ca="1" t="shared" si="22"/>
        <v>0.795163008232985</v>
      </c>
      <c r="CG6">
        <f ca="1" t="shared" si="92"/>
        <v>2.01222006778422</v>
      </c>
      <c r="CH6">
        <f ca="1">IF(CE6-VLOOKUP($CE$2,Input_Output!$G$2:$L$6,6,FALSE)&lt;0,0,CE6-VLOOKUP($CE$2,Input_Output!$G$2:$L$6,6,FALSE))*dt</f>
        <v>0</v>
      </c>
      <c r="CI6">
        <f ca="1" t="shared" si="93"/>
        <v>0</v>
      </c>
      <c r="CJ6" t="b">
        <f t="shared" si="52"/>
        <v>0</v>
      </c>
      <c r="CK6">
        <f ca="1" t="shared" si="53"/>
        <v>0</v>
      </c>
      <c r="CL6" t="b">
        <f t="shared" si="54"/>
        <v>0</v>
      </c>
      <c r="CM6">
        <f ca="1" t="shared" si="55"/>
        <v>0</v>
      </c>
      <c r="CN6" t="b">
        <f t="shared" si="56"/>
        <v>0</v>
      </c>
      <c r="CO6" s="11">
        <f ca="1" t="shared" si="57"/>
        <v>0</v>
      </c>
      <c r="CP6">
        <f ca="1" t="shared" si="23"/>
        <v>34.9867094523379</v>
      </c>
      <c r="CQ6">
        <f ca="1" t="shared" si="24"/>
        <v>0.874667736308448</v>
      </c>
      <c r="CR6">
        <f ca="1" t="shared" si="94"/>
        <v>2.21342106748123</v>
      </c>
      <c r="CS6">
        <f ca="1">IF(CP6-VLOOKUP($CP$2,Input_Output!$G$2:$L$6,6,FALSE)&lt;0,0,CP6-VLOOKUP($CP$2,Input_Output!$G$2:$L$6,6,FALSE))*dt</f>
        <v>0</v>
      </c>
      <c r="CT6">
        <f ca="1" t="shared" si="95"/>
        <v>0</v>
      </c>
      <c r="CU6" t="b">
        <f t="shared" si="58"/>
        <v>0</v>
      </c>
      <c r="CV6">
        <f ca="1" t="shared" si="59"/>
        <v>0</v>
      </c>
      <c r="CW6" t="b">
        <f t="shared" si="60"/>
        <v>0</v>
      </c>
      <c r="CX6">
        <f ca="1" t="shared" si="61"/>
        <v>0</v>
      </c>
      <c r="CY6" t="b">
        <f t="shared" si="62"/>
        <v>0</v>
      </c>
      <c r="CZ6" s="11">
        <f ca="1" t="shared" si="63"/>
        <v>0</v>
      </c>
      <c r="DA6">
        <f ca="1" t="shared" si="25"/>
        <v>35.7818792680697</v>
      </c>
      <c r="DB6">
        <f ca="1" t="shared" si="26"/>
        <v>0.894546981701741</v>
      </c>
      <c r="DC6">
        <f ca="1" t="shared" si="96"/>
        <v>2.2637268781035</v>
      </c>
      <c r="DD6">
        <f ca="1">IF(DA6-VLOOKUP($DA$2,Input_Output!$G$2:$L$6,6,FALSE)&lt;0,0,DA6-VLOOKUP($DA$2,Input_Output!$G$2:$L$6,6,FALSE))*dt</f>
        <v>0</v>
      </c>
      <c r="DE6">
        <f ca="1" t="shared" si="97"/>
        <v>0</v>
      </c>
      <c r="DF6" t="b">
        <f t="shared" si="64"/>
        <v>0</v>
      </c>
      <c r="DG6">
        <f ca="1" t="shared" si="98"/>
        <v>0</v>
      </c>
      <c r="DH6" t="b">
        <f t="shared" si="65"/>
        <v>0</v>
      </c>
      <c r="DI6">
        <f ca="1" t="shared" si="99"/>
        <v>0</v>
      </c>
      <c r="DJ6" t="b">
        <f t="shared" si="66"/>
        <v>0</v>
      </c>
      <c r="DK6" s="11">
        <f ca="1" t="shared" si="100"/>
        <v>0</v>
      </c>
    </row>
    <row r="7" spans="1:115">
      <c r="A7">
        <v>5</v>
      </c>
      <c r="B7">
        <f t="shared" si="27"/>
        <v>0.125</v>
      </c>
      <c r="C7" t="str">
        <f ca="1">IF(O6&gt;P6,VLOOKUP(Calcs!C6,Input_Output!$AN$11:$AS$30,6,FALSE),C6)</f>
        <v>A1</v>
      </c>
      <c r="D7" t="str">
        <f ca="1" t="shared" si="67"/>
        <v>A</v>
      </c>
      <c r="E7" t="str">
        <f ca="1">VLOOKUP(D7,Input_Output!$B$2:$E$5,2,FALSE)</f>
        <v>E</v>
      </c>
      <c r="F7" t="str">
        <f ca="1">VLOOKUP(D7,Input_Output!$B$2:$E$5,3,FALSE)</f>
        <v>D</v>
      </c>
      <c r="G7" t="str">
        <f ca="1">VLOOKUP(D7,Input_Output!$B$2:$E$5,4,FALSE)</f>
        <v>B</v>
      </c>
      <c r="H7" s="9">
        <f ca="1">IFERROR(IF(NOT(C7=C6),VLOOKUP(C6,Input_Output!$AN$11:$AV$30,9,FALSE)+O6+O7+(N7*dt),H6+(N7*dt)),tot_dist_end+10)</f>
        <v>0.01745248658766</v>
      </c>
      <c r="I7" s="6">
        <f ca="1" t="array" ref="I7">IF(OR(Q7=1,Q7=2),Starter_power_increment,Power_increment)+IF(OR(Q7=1,Q7=2),IF(Lap1profile="Male",laponepm(B7),laponepf(B7)),VLOOKUP(_xlfn.SINGLE(Rider_P1),Input_Output!$G$2:$P$6,(7+J7),FALSE))*Efficiency</f>
        <v>43.0709173005219</v>
      </c>
      <c r="J7" s="21" t="str">
        <f ca="1" t="shared" si="68"/>
        <v>1</v>
      </c>
      <c r="K7">
        <f ca="1" t="shared" si="29"/>
        <v>0.254714841490208</v>
      </c>
      <c r="L7">
        <f ca="1" t="shared" si="30"/>
        <v>0.0063678710372552</v>
      </c>
      <c r="M7">
        <f ca="1" t="shared" si="31"/>
        <v>0.01745248658766</v>
      </c>
      <c r="N7">
        <f ca="1" t="shared" si="101"/>
        <v>0.208597341148634</v>
      </c>
      <c r="O7" s="22">
        <f ca="1" t="shared" si="33"/>
        <v>0.01745248658766</v>
      </c>
      <c r="P7" s="8">
        <f ca="1">VLOOKUP(C7,Input_Output!$AN$11:$AT$30,7,FALSE)</f>
        <v>565.333629702347</v>
      </c>
      <c r="Q7" s="27">
        <f ca="1" t="shared" si="102"/>
        <v>1</v>
      </c>
      <c r="R7" s="6">
        <f ca="1">VLOOKUP(Q7,Input_Output!$AH$11:$AI$43,2,FALSE)</f>
        <v>125.62969548941</v>
      </c>
      <c r="S7" s="27" t="b">
        <f ca="1" t="shared" si="69"/>
        <v>0</v>
      </c>
      <c r="T7" s="12" t="str">
        <f ca="1" t="shared" si="70"/>
        <v> </v>
      </c>
      <c r="U7" s="12">
        <f ca="1" t="shared" si="2"/>
        <v>0.0174524865880295</v>
      </c>
      <c r="V7" s="28">
        <f ca="1" t="shared" si="34"/>
        <v>0.000138920073952584</v>
      </c>
      <c r="W7" s="8">
        <f ca="1">VLOOKUP(V7,Track_geometry_lookup!$A$3:$E$1003,2,TRUE)</f>
        <v>10000</v>
      </c>
      <c r="X7" s="12">
        <f ca="1">VLOOKUP(V7,Track_geometry_lookup!$A$3:$E$1003,3,TRUE)</f>
        <v>0.225147473507269</v>
      </c>
      <c r="Y7" s="12">
        <f ca="1">IF(Vel_whls&lt;6,0,(RADIANS(90)-(VLOOKUP(W7,Lean_angle_lookup!$A$3:$AP$244,VLOOKUP(Vel_whls,Lean_angle_lookup!$AU$3:$AV$48,2,TRUE),TRUE))))</f>
        <v>0</v>
      </c>
      <c r="Z7" s="6">
        <f ca="1">VLOOKUP(Rider_P1,Input_Output!$G$2:$K$6,5,FALSE)</f>
        <v>1.03</v>
      </c>
      <c r="AA7" s="8">
        <f ca="1">Static_mass_delta+VLOOKUP(Rider_P1,Input_Output!$G$2:$I$6,3,FALSE)</f>
        <v>88</v>
      </c>
      <c r="AB7" s="12">
        <f ca="1">P1_CDA_factor*(CDA_delta+IF(t&lt;Time_standing,VLOOKUP(Rider_P1,Input_Output!$G$2:$S$6,13,FALSE),VLOOKUP(Rider_P1,Input_Output!$G$2:$J$6,4,FALSE)))</f>
        <v>0.49</v>
      </c>
      <c r="AC7" s="12">
        <f ca="1" t="shared" si="3"/>
        <v>4.43510386449043e-7</v>
      </c>
      <c r="AD7" s="12">
        <f ca="1" t="shared" si="71"/>
        <v>4.43556072704272e-7</v>
      </c>
      <c r="AE7" s="12">
        <f ca="1" t="shared" si="72"/>
        <v>4.43556072704269e-7</v>
      </c>
      <c r="AF7" s="6">
        <f ca="1" t="shared" si="73"/>
        <v>2.54138909433525e-5</v>
      </c>
      <c r="AG7" s="8">
        <f ca="1" t="shared" si="74"/>
        <v>89.9999745861091</v>
      </c>
      <c r="AH7" s="6">
        <f ca="1" t="shared" si="75"/>
        <v>9999.99999954314</v>
      </c>
      <c r="AI7" s="9">
        <f ca="1" t="shared" si="37"/>
        <v>2.08597341148634e-5</v>
      </c>
      <c r="AJ7">
        <f ca="1" t="shared" si="6"/>
        <v>863.280000000168</v>
      </c>
      <c r="AK7" s="6">
        <f ca="1" t="shared" si="7"/>
        <v>345.312000000067</v>
      </c>
      <c r="AL7" s="6">
        <f ca="1" t="shared" si="8"/>
        <v>517.968000000101</v>
      </c>
      <c r="AM7" s="6">
        <f ca="1" t="shared" si="9"/>
        <v>0.603815224599806</v>
      </c>
      <c r="AN7" s="6">
        <f ca="1" t="shared" si="10"/>
        <v>0.905722836899709</v>
      </c>
      <c r="AO7" s="6">
        <f ca="1" t="shared" si="38"/>
        <v>0.125954250396585</v>
      </c>
      <c r="AP7" s="6">
        <f ca="1" t="shared" si="11"/>
        <v>0.188931375594877</v>
      </c>
      <c r="AQ7" s="8">
        <f ca="1" t="shared" si="76"/>
        <v>77.1</v>
      </c>
      <c r="AR7" s="6">
        <f ca="1" t="shared" si="77"/>
        <v>12.8999745861091</v>
      </c>
      <c r="AS7" s="6">
        <f ca="1">VLOOKUP(Q7,Input_Output!$A$57:$B$88,2,FALSE)</f>
        <v>0</v>
      </c>
      <c r="AT7" s="6">
        <f ca="1" t="shared" si="12"/>
        <v>0.314885625991462</v>
      </c>
      <c r="AU7">
        <f ca="1" t="shared" si="41"/>
        <v>0.00473712340404461</v>
      </c>
      <c r="AV7">
        <f ca="1" t="shared" si="13"/>
        <v>42.7512945511264</v>
      </c>
      <c r="AW7">
        <f ca="1" t="shared" si="78"/>
        <v>167.839825512366</v>
      </c>
      <c r="AX7">
        <f ca="1" t="shared" si="79"/>
        <v>1.87704113435329</v>
      </c>
      <c r="AY7">
        <f ca="1" t="shared" si="80"/>
        <v>1.07677293251305</v>
      </c>
      <c r="AZ7">
        <f ca="1" t="shared" si="81"/>
        <v>3.26936139469875</v>
      </c>
      <c r="BA7" t="b">
        <f ca="1" t="shared" si="82"/>
        <v>0</v>
      </c>
      <c r="BB7">
        <f ca="1" t="shared" si="83"/>
        <v>87.8998312255549</v>
      </c>
      <c r="BC7">
        <f ca="1" t="shared" si="15"/>
        <v>42.073700680651</v>
      </c>
      <c r="BE7">
        <f ca="1">P2_CDA_factor*(CDA_delta+IF(t&lt;Time_standing,VLOOKUP(Rider_P2,Input_Output!$G$2:$S$6,13,FALSE),VLOOKUP(Rider_P2,Input_Output!$G$2:$J$6,4,FALSE)))*0.5*rho*Vel_CoM*(Vel_CoM-Rel_airspeed)^2</f>
        <v>0.00338365957431758</v>
      </c>
      <c r="BF7">
        <f ca="1">Power_RR*VLOOKUP(Rider_P2,Input_Output!$G$2:$I$6,3,FALSE)/Mass</f>
        <v>0.286259659992238</v>
      </c>
      <c r="BG7">
        <f ca="1">VLOOKUP(Rider_P2,Input_Output!$G$2:$I$6,3,FALSE)*accel*Vel_CoM</f>
        <v>38.2488188005919</v>
      </c>
      <c r="BH7">
        <f ca="1" t="shared" si="84"/>
        <v>39.5266278155471</v>
      </c>
      <c r="BI7">
        <f ca="1" t="shared" si="85"/>
        <v>3.0003857631729</v>
      </c>
      <c r="BJ7">
        <f ca="1">P3_CDA_factor*(CDA_delta+IF(t&lt;Time_standing,VLOOKUP(Rider_P3,Input_Output!$G$2:$S$6,13,FALSE),VLOOKUP(Rider_P3,Input_Output!$G$2:$J$6,4,FALSE)))*0.5*rho*Vel_CoM*(Vel_CoM-Rel_airspeed)^2</f>
        <v>0.00290027963512935</v>
      </c>
      <c r="BK7">
        <f ca="1">Power_RR*VLOOKUP(Rider_P3,Input_Output!$G$2:$I$6,3,FALSE)/Mass</f>
        <v>0.314885625991462</v>
      </c>
      <c r="BL7">
        <f ca="1">VLOOKUP(Rider_P3,Input_Output!$G$2:$I$6,3,FALSE)*accel*Vel_CoM</f>
        <v>42.073700680651</v>
      </c>
      <c r="BM7">
        <f ca="1" t="shared" si="86"/>
        <v>43.4784477807976</v>
      </c>
      <c r="BN7">
        <f ca="1" t="shared" si="87"/>
        <v>3.30038226200116</v>
      </c>
      <c r="BO7">
        <f ca="1">P4_CDA_factor*(CDA_delta+IF(t&lt;Time_standing,VLOOKUP(Rider_P4,Input_Output!$G$2:$S$6,13,FALSE),VLOOKUP(Rider_P4,Input_Output!$G$2:$J$6,4,FALSE)))*0.5*rho*Vel_CoM*(Vel_CoM-Rel_airspeed)^2</f>
        <v>0.002996955622967</v>
      </c>
      <c r="BP7">
        <f ca="1">Power_RR*VLOOKUP(Rider_P4,Input_Output!$G$2:$I$6,3,FALSE)/Mass</f>
        <v>0.322042117491268</v>
      </c>
      <c r="BQ7">
        <f ca="1">VLOOKUP(Rider_P4,Input_Output!$G$2:$I$6,3,FALSE)*accel*Vel_CoM</f>
        <v>43.0299211506658</v>
      </c>
      <c r="BR7">
        <f ca="1" t="shared" si="88"/>
        <v>44.4666258705437</v>
      </c>
      <c r="BS7">
        <f ca="1" t="shared" si="89"/>
        <v>3.37539252486709</v>
      </c>
      <c r="BT7" s="10" t="e">
        <f ca="1" t="shared" si="19"/>
        <v>#DIV/0!</v>
      </c>
      <c r="BU7" t="e">
        <f ca="1" t="shared" si="20"/>
        <v>#DIV/0!</v>
      </c>
      <c r="BV7" t="e">
        <f ca="1" t="shared" si="90"/>
        <v>#DIV/0!</v>
      </c>
      <c r="BW7" t="e">
        <f ca="1">IF(BT7-VLOOKUP($BT$2,Input_Output!$G$2:$L$6,6,FALSE)&lt;0,0,BT7-VLOOKUP($BT$2,Input_Output!$G$2:$L$6,6,FALSE))*dt</f>
        <v>#DIV/0!</v>
      </c>
      <c r="BX7" t="e">
        <f ca="1" t="shared" si="91"/>
        <v>#DIV/0!</v>
      </c>
      <c r="BY7" t="b">
        <f t="shared" si="46"/>
        <v>0</v>
      </c>
      <c r="BZ7">
        <f ca="1" t="shared" si="47"/>
        <v>0</v>
      </c>
      <c r="CA7" t="b">
        <f t="shared" si="48"/>
        <v>0</v>
      </c>
      <c r="CB7">
        <f ca="1" t="shared" si="49"/>
        <v>0</v>
      </c>
      <c r="CC7" t="b">
        <f t="shared" si="50"/>
        <v>0</v>
      </c>
      <c r="CD7" s="11">
        <f ca="1" t="shared" si="51"/>
        <v>0</v>
      </c>
      <c r="CE7">
        <f ca="1" t="shared" si="21"/>
        <v>39.5266278155471</v>
      </c>
      <c r="CF7">
        <f ca="1" t="shared" si="22"/>
        <v>0.988165695388678</v>
      </c>
      <c r="CG7">
        <f ca="1" t="shared" si="92"/>
        <v>3.0003857631729</v>
      </c>
      <c r="CH7">
        <f ca="1">IF(CE7-VLOOKUP($CE$2,Input_Output!$G$2:$L$6,6,FALSE)&lt;0,0,CE7-VLOOKUP($CE$2,Input_Output!$G$2:$L$6,6,FALSE))*dt</f>
        <v>0</v>
      </c>
      <c r="CI7">
        <f ca="1" t="shared" si="93"/>
        <v>0</v>
      </c>
      <c r="CJ7" t="b">
        <f t="shared" si="52"/>
        <v>0</v>
      </c>
      <c r="CK7">
        <f ca="1" t="shared" si="53"/>
        <v>0</v>
      </c>
      <c r="CL7" t="b">
        <f t="shared" si="54"/>
        <v>0</v>
      </c>
      <c r="CM7">
        <f ca="1" t="shared" si="55"/>
        <v>0</v>
      </c>
      <c r="CN7" t="b">
        <f t="shared" si="56"/>
        <v>0</v>
      </c>
      <c r="CO7" s="11">
        <f ca="1" t="shared" si="57"/>
        <v>0</v>
      </c>
      <c r="CP7">
        <f ca="1" t="shared" si="23"/>
        <v>43.4784477807976</v>
      </c>
      <c r="CQ7">
        <f ca="1" t="shared" si="24"/>
        <v>1.08696119451994</v>
      </c>
      <c r="CR7">
        <f ca="1" t="shared" si="94"/>
        <v>3.30038226200116</v>
      </c>
      <c r="CS7">
        <f ca="1">IF(CP7-VLOOKUP($CP$2,Input_Output!$G$2:$L$6,6,FALSE)&lt;0,0,CP7-VLOOKUP($CP$2,Input_Output!$G$2:$L$6,6,FALSE))*dt</f>
        <v>0</v>
      </c>
      <c r="CT7">
        <f ca="1" t="shared" si="95"/>
        <v>0</v>
      </c>
      <c r="CU7" t="b">
        <f t="shared" si="58"/>
        <v>0</v>
      </c>
      <c r="CV7">
        <f ca="1" t="shared" si="59"/>
        <v>0</v>
      </c>
      <c r="CW7" t="b">
        <f t="shared" si="60"/>
        <v>0</v>
      </c>
      <c r="CX7">
        <f ca="1" t="shared" si="61"/>
        <v>0</v>
      </c>
      <c r="CY7" t="b">
        <f t="shared" si="62"/>
        <v>0</v>
      </c>
      <c r="CZ7" s="11">
        <f ca="1" t="shared" si="63"/>
        <v>0</v>
      </c>
      <c r="DA7">
        <f ca="1" t="shared" si="25"/>
        <v>44.4666258705437</v>
      </c>
      <c r="DB7">
        <f ca="1" t="shared" si="26"/>
        <v>1.11166564676359</v>
      </c>
      <c r="DC7">
        <f ca="1" t="shared" si="96"/>
        <v>3.37539252486709</v>
      </c>
      <c r="DD7">
        <f ca="1">IF(DA7-VLOOKUP($DA$2,Input_Output!$G$2:$L$6,6,FALSE)&lt;0,0,DA7-VLOOKUP($DA$2,Input_Output!$G$2:$L$6,6,FALSE))*dt</f>
        <v>0</v>
      </c>
      <c r="DE7">
        <f ca="1" t="shared" si="97"/>
        <v>0</v>
      </c>
      <c r="DF7" t="b">
        <f t="shared" si="64"/>
        <v>0</v>
      </c>
      <c r="DG7">
        <f ca="1" t="shared" si="98"/>
        <v>0</v>
      </c>
      <c r="DH7" t="b">
        <f t="shared" si="65"/>
        <v>0</v>
      </c>
      <c r="DI7">
        <f ca="1" t="shared" si="99"/>
        <v>0</v>
      </c>
      <c r="DJ7" t="b">
        <f t="shared" si="66"/>
        <v>0</v>
      </c>
      <c r="DK7" s="11">
        <f ca="1" t="shared" si="100"/>
        <v>0</v>
      </c>
    </row>
    <row r="8" spans="1:115">
      <c r="A8">
        <v>6</v>
      </c>
      <c r="B8">
        <f t="shared" si="27"/>
        <v>0.15</v>
      </c>
      <c r="C8" t="str">
        <f ca="1">IF(O7&gt;P7,VLOOKUP(Calcs!C7,Input_Output!$AN$11:$AS$30,6,FALSE),C7)</f>
        <v>A1</v>
      </c>
      <c r="D8" t="str">
        <f ca="1" t="shared" si="67"/>
        <v>A</v>
      </c>
      <c r="E8" t="str">
        <f ca="1">VLOOKUP(D8,Input_Output!$B$2:$E$5,2,FALSE)</f>
        <v>E</v>
      </c>
      <c r="F8" t="str">
        <f ca="1">VLOOKUP(D8,Input_Output!$B$2:$E$5,3,FALSE)</f>
        <v>D</v>
      </c>
      <c r="G8" t="str">
        <f ca="1">VLOOKUP(D8,Input_Output!$B$2:$E$5,4,FALSE)</f>
        <v>B</v>
      </c>
      <c r="H8" s="9">
        <f ca="1">IFERROR(IF(NOT(C8=C7),VLOOKUP(C7,Input_Output!$AN$11:$AV$30,9,FALSE)+O7+O8+(N8*dt),H7+(N8*dt)),tot_dist_end+10)</f>
        <v>0.0238203576252061</v>
      </c>
      <c r="I8" s="6">
        <f ca="1" t="array" ref="I8">IF(OR(Q8=1,Q8=2),Starter_power_increment,Power_increment)+IF(OR(Q8=1,Q8=2),IF(Lap1profile="Male",laponepm(B8),laponepf(B8)),VLOOKUP(_xlfn.SINGLE(Rider_P1),Input_Output!$G$2:$P$6,(7+J8),FALSE))*Efficiency</f>
        <v>51.438174118496</v>
      </c>
      <c r="J8" s="21" t="str">
        <f ca="1" t="shared" si="68"/>
        <v>1</v>
      </c>
      <c r="K8">
        <f ca="1" t="shared" si="29"/>
        <v>0.30164086984904</v>
      </c>
      <c r="L8">
        <f ca="1" t="shared" si="30"/>
        <v>0.007541021746226</v>
      </c>
      <c r="M8">
        <f ca="1" t="shared" si="31"/>
        <v>0.0238203576252061</v>
      </c>
      <c r="N8">
        <f ca="1" t="shared" si="101"/>
        <v>0.254714841501845</v>
      </c>
      <c r="O8" s="22">
        <f ca="1" t="shared" si="33"/>
        <v>0.0238203576252061</v>
      </c>
      <c r="P8" s="8">
        <f ca="1">VLOOKUP(C8,Input_Output!$AN$11:$AT$30,7,FALSE)</f>
        <v>565.333629702347</v>
      </c>
      <c r="Q8" s="27">
        <f ca="1" t="shared" si="102"/>
        <v>1</v>
      </c>
      <c r="R8" s="6">
        <f ca="1">VLOOKUP(Q8,Input_Output!$AH$11:$AI$43,2,FALSE)</f>
        <v>125.62969548941</v>
      </c>
      <c r="S8" s="27" t="b">
        <f ca="1" t="shared" si="69"/>
        <v>0</v>
      </c>
      <c r="T8" s="12" t="str">
        <f ca="1" t="shared" si="70"/>
        <v> </v>
      </c>
      <c r="U8" s="12">
        <f ca="1" t="shared" si="2"/>
        <v>0.0238203576255756</v>
      </c>
      <c r="V8" s="28">
        <f ca="1" t="shared" si="34"/>
        <v>0.000189607700096539</v>
      </c>
      <c r="W8" s="8">
        <f ca="1">VLOOKUP(V8,Track_geometry_lookup!$A$3:$E$1003,2,TRUE)</f>
        <v>10000</v>
      </c>
      <c r="X8" s="12">
        <f ca="1">VLOOKUP(V8,Track_geometry_lookup!$A$3:$E$1003,3,TRUE)</f>
        <v>0.225147473507269</v>
      </c>
      <c r="Y8" s="12">
        <f ca="1">IF(Vel_whls&lt;6,0,(RADIANS(90)-(VLOOKUP(W8,Lean_angle_lookup!$A$3:$AP$244,VLOOKUP(Vel_whls,Lean_angle_lookup!$AU$3:$AV$48,2,TRUE),TRUE))))</f>
        <v>0</v>
      </c>
      <c r="Z8" s="6">
        <f ca="1">VLOOKUP(Rider_P1,Input_Output!$G$2:$K$6,5,FALSE)</f>
        <v>1.03</v>
      </c>
      <c r="AA8" s="8">
        <f ca="1">Static_mass_delta+VLOOKUP(Rider_P1,Input_Output!$G$2:$I$6,3,FALSE)</f>
        <v>88</v>
      </c>
      <c r="AB8" s="12">
        <f ca="1">P1_CDA_factor*(CDA_delta+IF(t&lt;Time_standing,VLOOKUP(Rider_P1,Input_Output!$G$2:$S$6,13,FALSE),VLOOKUP(Rider_P1,Input_Output!$G$2:$J$6,4,FALSE)))</f>
        <v>0.49</v>
      </c>
      <c r="AC8" s="12">
        <f ca="1" t="shared" si="3"/>
        <v>6.61294269901131e-7</v>
      </c>
      <c r="AD8" s="12">
        <f ca="1" t="shared" si="71"/>
        <v>6.61362390182277e-7</v>
      </c>
      <c r="AE8" s="12">
        <f ca="1" t="shared" si="72"/>
        <v>6.61362390182272e-7</v>
      </c>
      <c r="AF8" s="6">
        <f ca="1" t="shared" si="73"/>
        <v>3.78932736861286e-5</v>
      </c>
      <c r="AG8" s="8">
        <f ca="1" t="shared" si="74"/>
        <v>89.9999621067263</v>
      </c>
      <c r="AH8" s="6">
        <f ca="1" t="shared" si="75"/>
        <v>9999.9999993188</v>
      </c>
      <c r="AI8" s="9">
        <f ca="1" t="shared" si="37"/>
        <v>2.54714841501845e-5</v>
      </c>
      <c r="AJ8">
        <f ca="1" t="shared" si="6"/>
        <v>863.280000000341</v>
      </c>
      <c r="AK8" s="6">
        <f ca="1" t="shared" si="7"/>
        <v>345.312000000136</v>
      </c>
      <c r="AL8" s="6">
        <f ca="1" t="shared" si="8"/>
        <v>517.968000000204</v>
      </c>
      <c r="AM8" s="6">
        <f ca="1" t="shared" si="9"/>
        <v>0.603815174957014</v>
      </c>
      <c r="AN8" s="6">
        <f ca="1" t="shared" si="10"/>
        <v>0.905722762435521</v>
      </c>
      <c r="AO8" s="6">
        <f ca="1" t="shared" si="38"/>
        <v>0.153800686585585</v>
      </c>
      <c r="AP8" s="6">
        <f ca="1" t="shared" si="11"/>
        <v>0.230701029878377</v>
      </c>
      <c r="AQ8" s="8">
        <f ca="1" t="shared" si="76"/>
        <v>77.1</v>
      </c>
      <c r="AR8" s="6">
        <f ca="1" t="shared" si="77"/>
        <v>12.8999621067263</v>
      </c>
      <c r="AS8" s="6">
        <f ca="1">VLOOKUP(Q8,Input_Output!$A$57:$B$88,2,FALSE)</f>
        <v>0</v>
      </c>
      <c r="AT8" s="6">
        <f ca="1" t="shared" si="12"/>
        <v>0.384501716463961</v>
      </c>
      <c r="AU8">
        <f ca="1" t="shared" si="41"/>
        <v>0.0078672418215209</v>
      </c>
      <c r="AV8">
        <f ca="1" t="shared" si="13"/>
        <v>51.0458051602105</v>
      </c>
      <c r="AW8">
        <f ca="1" t="shared" si="78"/>
        <v>169.227085128607</v>
      </c>
      <c r="AX8">
        <f ca="1" t="shared" si="79"/>
        <v>1.89255558901721</v>
      </c>
      <c r="AY8">
        <f ca="1" t="shared" si="80"/>
        <v>1.2859543529624</v>
      </c>
      <c r="AZ8">
        <f ca="1" t="shared" si="81"/>
        <v>4.55531574766115</v>
      </c>
      <c r="BA8" t="b">
        <f ca="1" t="shared" si="82"/>
        <v>0</v>
      </c>
      <c r="BB8">
        <f ca="1" t="shared" si="83"/>
        <v>104.975865547951</v>
      </c>
      <c r="BC8">
        <f ca="1" t="shared" si="15"/>
        <v>50.2367460415756</v>
      </c>
      <c r="BE8">
        <f ca="1">P2_CDA_factor*(CDA_delta+IF(t&lt;Time_standing,VLOOKUP(Rider_P2,Input_Output!$G$2:$S$6,13,FALSE),VLOOKUP(Rider_P2,Input_Output!$G$2:$J$6,4,FALSE)))*0.5*rho*Vel_CoM*(Vel_CoM-Rel_airspeed)^2</f>
        <v>0.0056194584439435</v>
      </c>
      <c r="BF8">
        <f ca="1">Power_RR*VLOOKUP(Rider_P2,Input_Output!$G$2:$I$6,3,FALSE)/Mass</f>
        <v>0.349547014967238</v>
      </c>
      <c r="BG8">
        <f ca="1">VLOOKUP(Rider_P2,Input_Output!$G$2:$I$6,3,FALSE)*accel*Vel_CoM</f>
        <v>45.6697691287051</v>
      </c>
      <c r="BH8">
        <f ca="1" t="shared" si="84"/>
        <v>47.2050621560167</v>
      </c>
      <c r="BI8">
        <f ca="1" t="shared" si="85"/>
        <v>4.18051231707332</v>
      </c>
      <c r="BJ8">
        <f ca="1">P3_CDA_factor*(CDA_delta+IF(t&lt;Time_standing,VLOOKUP(Rider_P3,Input_Output!$G$2:$S$6,13,FALSE),VLOOKUP(Rider_P3,Input_Output!$G$2:$J$6,4,FALSE)))*0.5*rho*Vel_CoM*(Vel_CoM-Rel_airspeed)^2</f>
        <v>0.00481667866623729</v>
      </c>
      <c r="BK8">
        <f ca="1">Power_RR*VLOOKUP(Rider_P3,Input_Output!$G$2:$I$6,3,FALSE)/Mass</f>
        <v>0.384501716463961</v>
      </c>
      <c r="BL8">
        <f ca="1">VLOOKUP(Rider_P3,Input_Output!$G$2:$I$6,3,FALSE)*accel*Vel_CoM</f>
        <v>50.2367460415756</v>
      </c>
      <c r="BM8">
        <f ca="1" t="shared" si="86"/>
        <v>51.9241686530316</v>
      </c>
      <c r="BN8">
        <f ca="1" t="shared" si="87"/>
        <v>4.59848647832695</v>
      </c>
      <c r="BO8">
        <f ca="1">P4_CDA_factor*(CDA_delta+IF(t&lt;Time_standing,VLOOKUP(Rider_P4,Input_Output!$G$2:$S$6,13,FALSE),VLOOKUP(Rider_P4,Input_Output!$G$2:$J$6,4,FALSE)))*0.5*rho*Vel_CoM*(Vel_CoM-Rel_airspeed)^2</f>
        <v>0.00497723462177853</v>
      </c>
      <c r="BP8">
        <f ca="1">Power_RR*VLOOKUP(Rider_P4,Input_Output!$G$2:$I$6,3,FALSE)/Mass</f>
        <v>0.393240391838142</v>
      </c>
      <c r="BQ8">
        <f ca="1">VLOOKUP(Rider_P4,Input_Output!$G$2:$I$6,3,FALSE)*accel*Vel_CoM</f>
        <v>51.3784902697932</v>
      </c>
      <c r="BR8">
        <f ca="1" t="shared" si="88"/>
        <v>53.1043157910289</v>
      </c>
      <c r="BS8">
        <f ca="1" t="shared" si="89"/>
        <v>4.70300041964281</v>
      </c>
      <c r="BT8" s="10" t="e">
        <f ca="1" t="shared" si="19"/>
        <v>#DIV/0!</v>
      </c>
      <c r="BU8" t="e">
        <f ca="1" t="shared" si="20"/>
        <v>#DIV/0!</v>
      </c>
      <c r="BV8" t="e">
        <f ca="1" t="shared" si="90"/>
        <v>#DIV/0!</v>
      </c>
      <c r="BW8" t="e">
        <f ca="1">IF(BT8-VLOOKUP($BT$2,Input_Output!$G$2:$L$6,6,FALSE)&lt;0,0,BT8-VLOOKUP($BT$2,Input_Output!$G$2:$L$6,6,FALSE))*dt</f>
        <v>#DIV/0!</v>
      </c>
      <c r="BX8" t="e">
        <f ca="1" t="shared" si="91"/>
        <v>#DIV/0!</v>
      </c>
      <c r="BY8" t="b">
        <f t="shared" si="46"/>
        <v>0</v>
      </c>
      <c r="BZ8">
        <f ca="1" t="shared" si="47"/>
        <v>0</v>
      </c>
      <c r="CA8" t="b">
        <f t="shared" si="48"/>
        <v>0</v>
      </c>
      <c r="CB8">
        <f ca="1" t="shared" si="49"/>
        <v>0</v>
      </c>
      <c r="CC8" t="b">
        <f t="shared" si="50"/>
        <v>0</v>
      </c>
      <c r="CD8" s="11">
        <f ca="1" t="shared" si="51"/>
        <v>0</v>
      </c>
      <c r="CE8">
        <f ca="1" t="shared" si="21"/>
        <v>47.2050621560167</v>
      </c>
      <c r="CF8">
        <f ca="1" t="shared" si="22"/>
        <v>1.18012655390042</v>
      </c>
      <c r="CG8">
        <f ca="1" t="shared" si="92"/>
        <v>4.18051231707332</v>
      </c>
      <c r="CH8">
        <f ca="1">IF(CE8-VLOOKUP($CE$2,Input_Output!$G$2:$L$6,6,FALSE)&lt;0,0,CE8-VLOOKUP($CE$2,Input_Output!$G$2:$L$6,6,FALSE))*dt</f>
        <v>0</v>
      </c>
      <c r="CI8">
        <f ca="1" t="shared" si="93"/>
        <v>0</v>
      </c>
      <c r="CJ8" t="b">
        <f t="shared" si="52"/>
        <v>0</v>
      </c>
      <c r="CK8">
        <f ca="1" t="shared" si="53"/>
        <v>0</v>
      </c>
      <c r="CL8" t="b">
        <f t="shared" si="54"/>
        <v>0</v>
      </c>
      <c r="CM8">
        <f ca="1" t="shared" si="55"/>
        <v>0</v>
      </c>
      <c r="CN8" t="b">
        <f t="shared" si="56"/>
        <v>0</v>
      </c>
      <c r="CO8" s="11">
        <f ca="1" t="shared" si="57"/>
        <v>0</v>
      </c>
      <c r="CP8">
        <f ca="1" t="shared" si="23"/>
        <v>51.9241686530316</v>
      </c>
      <c r="CQ8">
        <f ca="1" t="shared" si="24"/>
        <v>1.29810421632579</v>
      </c>
      <c r="CR8">
        <f ca="1" t="shared" si="94"/>
        <v>4.59848647832695</v>
      </c>
      <c r="CS8">
        <f ca="1">IF(CP8-VLOOKUP($CP$2,Input_Output!$G$2:$L$6,6,FALSE)&lt;0,0,CP8-VLOOKUP($CP$2,Input_Output!$G$2:$L$6,6,FALSE))*dt</f>
        <v>0</v>
      </c>
      <c r="CT8">
        <f ca="1" t="shared" si="95"/>
        <v>0</v>
      </c>
      <c r="CU8" t="b">
        <f t="shared" si="58"/>
        <v>0</v>
      </c>
      <c r="CV8">
        <f ca="1" t="shared" si="59"/>
        <v>0</v>
      </c>
      <c r="CW8" t="b">
        <f t="shared" si="60"/>
        <v>0</v>
      </c>
      <c r="CX8">
        <f ca="1" t="shared" si="61"/>
        <v>0</v>
      </c>
      <c r="CY8" t="b">
        <f t="shared" si="62"/>
        <v>0</v>
      </c>
      <c r="CZ8" s="11">
        <f ca="1" t="shared" si="63"/>
        <v>0</v>
      </c>
      <c r="DA8">
        <f ca="1" t="shared" si="25"/>
        <v>53.1043157910289</v>
      </c>
      <c r="DB8">
        <f ca="1" t="shared" si="26"/>
        <v>1.32760789477572</v>
      </c>
      <c r="DC8">
        <f ca="1" t="shared" si="96"/>
        <v>4.70300041964281</v>
      </c>
      <c r="DD8">
        <f ca="1">IF(DA8-VLOOKUP($DA$2,Input_Output!$G$2:$L$6,6,FALSE)&lt;0,0,DA8-VLOOKUP($DA$2,Input_Output!$G$2:$L$6,6,FALSE))*dt</f>
        <v>0</v>
      </c>
      <c r="DE8">
        <f ca="1" t="shared" si="97"/>
        <v>0</v>
      </c>
      <c r="DF8" t="b">
        <f t="shared" si="64"/>
        <v>0</v>
      </c>
      <c r="DG8">
        <f ca="1" t="shared" si="98"/>
        <v>0</v>
      </c>
      <c r="DH8" t="b">
        <f t="shared" si="65"/>
        <v>0</v>
      </c>
      <c r="DI8">
        <f ca="1" t="shared" si="99"/>
        <v>0</v>
      </c>
      <c r="DJ8" t="b">
        <f t="shared" si="66"/>
        <v>0</v>
      </c>
      <c r="DK8" s="11">
        <f ca="1" t="shared" si="100"/>
        <v>0</v>
      </c>
    </row>
    <row r="9" spans="1:115">
      <c r="A9">
        <v>7</v>
      </c>
      <c r="B9">
        <f t="shared" si="27"/>
        <v>0.175</v>
      </c>
      <c r="C9" t="str">
        <f ca="1">IF(O8&gt;P8,VLOOKUP(Calcs!C8,Input_Output!$AN$11:$AS$30,6,FALSE),C8)</f>
        <v>A1</v>
      </c>
      <c r="D9" t="str">
        <f ca="1" t="shared" si="67"/>
        <v>A</v>
      </c>
      <c r="E9" t="str">
        <f ca="1">VLOOKUP(D9,Input_Output!$B$2:$E$5,2,FALSE)</f>
        <v>E</v>
      </c>
      <c r="F9" t="str">
        <f ca="1">VLOOKUP(D9,Input_Output!$B$2:$E$5,3,FALSE)</f>
        <v>D</v>
      </c>
      <c r="G9" t="str">
        <f ca="1">VLOOKUP(D9,Input_Output!$B$2:$E$5,4,FALSE)</f>
        <v>B</v>
      </c>
      <c r="H9" s="9">
        <f ca="1">IFERROR(IF(NOT(C9=C8),VLOOKUP(C8,Input_Output!$AN$11:$AV$30,9,FALSE)+O8+O9+(N9*dt),H8+(N9*dt)),tot_dist_end+10)</f>
        <v>0.0313613793719458</v>
      </c>
      <c r="I9" s="6">
        <f ca="1" t="array" ref="I9">IF(OR(Q9=1,Q9=2),Starter_power_increment,Power_increment)+IF(OR(Q9=1,Q9=2),IF(Lap1profile="Male",laponepm(B9),laponepf(B9)),VLOOKUP(_xlfn.SINGLE(Rider_P1),Input_Output!$G$2:$P$6,(7+J9),FALSE))*Efficiency</f>
        <v>59.7603300083346</v>
      </c>
      <c r="J9" s="21" t="str">
        <f ca="1" t="shared" si="68"/>
        <v>1</v>
      </c>
      <c r="K9">
        <f ca="1" t="shared" si="29"/>
        <v>0.34895475957447</v>
      </c>
      <c r="L9">
        <f ca="1" t="shared" si="30"/>
        <v>0.00872386898936176</v>
      </c>
      <c r="M9">
        <f ca="1" t="shared" si="31"/>
        <v>0.0313613793719458</v>
      </c>
      <c r="N9">
        <f ca="1" t="shared" si="101"/>
        <v>0.301640869869588</v>
      </c>
      <c r="O9" s="22">
        <f ca="1" t="shared" si="33"/>
        <v>0.0313613793719458</v>
      </c>
      <c r="P9" s="8">
        <f ca="1">VLOOKUP(C9,Input_Output!$AN$11:$AT$30,7,FALSE)</f>
        <v>565.333629702347</v>
      </c>
      <c r="Q9" s="27">
        <f ca="1" t="shared" si="102"/>
        <v>1</v>
      </c>
      <c r="R9" s="6">
        <f ca="1">VLOOKUP(Q9,Input_Output!$AH$11:$AI$43,2,FALSE)</f>
        <v>125.62969548941</v>
      </c>
      <c r="S9" s="27" t="b">
        <f ca="1" t="shared" si="69"/>
        <v>0</v>
      </c>
      <c r="T9" s="12" t="str">
        <f ca="1" t="shared" si="70"/>
        <v> </v>
      </c>
      <c r="U9" s="12">
        <f ca="1" t="shared" si="2"/>
        <v>0.0313613793723153</v>
      </c>
      <c r="V9" s="28">
        <f ca="1" t="shared" si="34"/>
        <v>0.000249633490315662</v>
      </c>
      <c r="W9" s="8">
        <f ca="1">VLOOKUP(V9,Track_geometry_lookup!$A$3:$E$1003,2,TRUE)</f>
        <v>10000</v>
      </c>
      <c r="X9" s="12">
        <f ca="1">VLOOKUP(V9,Track_geometry_lookup!$A$3:$E$1003,3,TRUE)</f>
        <v>0.225147473507269</v>
      </c>
      <c r="Y9" s="12">
        <f ca="1">IF(Vel_whls&lt;6,0,(RADIANS(90)-(VLOOKUP(W9,Lean_angle_lookup!$A$3:$AP$244,VLOOKUP(Vel_whls,Lean_angle_lookup!$AU$3:$AV$48,2,TRUE),TRUE))))</f>
        <v>0</v>
      </c>
      <c r="Z9" s="6">
        <f ca="1">VLOOKUP(Rider_P1,Input_Output!$G$2:$K$6,5,FALSE)</f>
        <v>1.03</v>
      </c>
      <c r="AA9" s="8">
        <f ca="1">Static_mass_delta+VLOOKUP(Rider_P1,Input_Output!$G$2:$I$6,3,FALSE)</f>
        <v>88</v>
      </c>
      <c r="AB9" s="12">
        <f ca="1">P1_CDA_factor*(CDA_delta+IF(t&lt;Time_standing,VLOOKUP(Rider_P1,Input_Output!$G$2:$S$6,13,FALSE),VLOOKUP(Rider_P1,Input_Output!$G$2:$J$6,4,FALSE)))</f>
        <v>0.49</v>
      </c>
      <c r="AC9" s="12">
        <f ca="1" t="shared" si="3"/>
        <v>9.27399008079256e-7</v>
      </c>
      <c r="AD9" s="12">
        <f ca="1" t="shared" si="71"/>
        <v>9.27494539928282e-7</v>
      </c>
      <c r="AE9" s="12">
        <f ca="1" t="shared" si="72"/>
        <v>9.27494539928272e-7</v>
      </c>
      <c r="AF9" s="6">
        <f ca="1" t="shared" si="73"/>
        <v>5.3141522659318e-5</v>
      </c>
      <c r="AG9" s="8">
        <f ca="1" t="shared" si="74"/>
        <v>89.9999468584773</v>
      </c>
      <c r="AH9" s="6">
        <f ca="1" t="shared" si="75"/>
        <v>9999.99999904468</v>
      </c>
      <c r="AI9" s="9">
        <f ca="1" t="shared" si="37"/>
        <v>3.01640869869588e-5</v>
      </c>
      <c r="AJ9">
        <f ca="1" t="shared" si="6"/>
        <v>863.280000000623</v>
      </c>
      <c r="AK9" s="6">
        <f ca="1" t="shared" si="7"/>
        <v>345.312000000249</v>
      </c>
      <c r="AL9" s="6">
        <f ca="1" t="shared" si="8"/>
        <v>517.968000000374</v>
      </c>
      <c r="AM9" s="6">
        <f ca="1" t="shared" si="9"/>
        <v>0.603815114299765</v>
      </c>
      <c r="AN9" s="6">
        <f ca="1" t="shared" si="10"/>
        <v>0.905722671449647</v>
      </c>
      <c r="AO9" s="6">
        <f ca="1" t="shared" si="38"/>
        <v>0.182135316317786</v>
      </c>
      <c r="AP9" s="6">
        <f ca="1" t="shared" si="11"/>
        <v>0.273202974476679</v>
      </c>
      <c r="AQ9" s="8">
        <f ca="1" t="shared" si="76"/>
        <v>77.1</v>
      </c>
      <c r="AR9" s="6">
        <f ca="1" t="shared" si="77"/>
        <v>12.8999468584774</v>
      </c>
      <c r="AS9" s="6">
        <f ca="1">VLOOKUP(Q9,Input_Output!$A$57:$B$88,2,FALSE)</f>
        <v>0</v>
      </c>
      <c r="AT9" s="6">
        <f ca="1" t="shared" si="12"/>
        <v>0.455338290794464</v>
      </c>
      <c r="AU9">
        <f ca="1" t="shared" si="41"/>
        <v>0.0121803375775994</v>
      </c>
      <c r="AV9">
        <f ca="1" t="shared" si="13"/>
        <v>59.2928113799626</v>
      </c>
      <c r="AW9">
        <f ca="1" t="shared" si="78"/>
        <v>169.915468275219</v>
      </c>
      <c r="AX9">
        <f ca="1" t="shared" si="79"/>
        <v>1.90025414017122</v>
      </c>
      <c r="AY9">
        <f ca="1" t="shared" si="80"/>
        <v>1.49400825020837</v>
      </c>
      <c r="AZ9">
        <f ca="1" t="shared" si="81"/>
        <v>6.04932399786952</v>
      </c>
      <c r="BA9" t="b">
        <f ca="1" t="shared" si="82"/>
        <v>0</v>
      </c>
      <c r="BB9">
        <f ca="1" t="shared" si="83"/>
        <v>121.959857159867</v>
      </c>
      <c r="BC9">
        <f ca="1" t="shared" si="15"/>
        <v>58.3530399420178</v>
      </c>
      <c r="BE9">
        <f ca="1">P2_CDA_factor*(CDA_delta+IF(t&lt;Time_standing,VLOOKUP(Rider_P2,Input_Output!$G$2:$S$6,13,FALSE),VLOOKUP(Rider_P2,Input_Output!$G$2:$J$6,4,FALSE)))*0.5*rho*Vel_CoM*(Vel_CoM-Rel_airspeed)^2</f>
        <v>0.00870024112685673</v>
      </c>
      <c r="BF9">
        <f ca="1">Power_RR*VLOOKUP(Rider_P2,Input_Output!$G$2:$I$6,3,FALSE)/Mass</f>
        <v>0.41394390072224</v>
      </c>
      <c r="BG9">
        <f ca="1">VLOOKUP(Rider_P2,Input_Output!$G$2:$I$6,3,FALSE)*accel*Vel_CoM</f>
        <v>53.0482181291071</v>
      </c>
      <c r="BH9">
        <f ca="1" t="shared" si="84"/>
        <v>54.8419100214935</v>
      </c>
      <c r="BI9">
        <f ca="1" t="shared" si="85"/>
        <v>5.55156006761066</v>
      </c>
      <c r="BJ9">
        <f ca="1">P3_CDA_factor*(CDA_delta+IF(t&lt;Time_standing,VLOOKUP(Rider_P3,Input_Output!$G$2:$S$6,13,FALSE),VLOOKUP(Rider_P3,Input_Output!$G$2:$J$6,4,FALSE)))*0.5*rho*Vel_CoM*(Vel_CoM-Rel_airspeed)^2</f>
        <v>0.00745734953730577</v>
      </c>
      <c r="BK9">
        <f ca="1">Power_RR*VLOOKUP(Rider_P3,Input_Output!$G$2:$I$6,3,FALSE)/Mass</f>
        <v>0.455338290794464</v>
      </c>
      <c r="BL9">
        <f ca="1">VLOOKUP(Rider_P3,Input_Output!$G$2:$I$6,3,FALSE)*accel*Vel_CoM</f>
        <v>58.3530399420178</v>
      </c>
      <c r="BM9">
        <f ca="1" t="shared" si="86"/>
        <v>60.3239339306149</v>
      </c>
      <c r="BN9">
        <f ca="1" t="shared" si="87"/>
        <v>6.10658482659233</v>
      </c>
      <c r="BO9">
        <f ca="1">P4_CDA_factor*(CDA_delta+IF(t&lt;Time_standing,VLOOKUP(Rider_P4,Input_Output!$G$2:$S$6,13,FALSE),VLOOKUP(Rider_P4,Input_Output!$G$2:$J$6,4,FALSE)))*0.5*rho*Vel_CoM*(Vel_CoM-Rel_airspeed)^2</f>
        <v>0.00770592785521596</v>
      </c>
      <c r="BP9">
        <f ca="1">Power_RR*VLOOKUP(Rider_P4,Input_Output!$G$2:$I$6,3,FALSE)/Mass</f>
        <v>0.46568688831252</v>
      </c>
      <c r="BQ9">
        <f ca="1">VLOOKUP(Rider_P4,Input_Output!$G$2:$I$6,3,FALSE)*accel*Vel_CoM</f>
        <v>59.6792453952455</v>
      </c>
      <c r="BR9">
        <f ca="1" t="shared" si="88"/>
        <v>61.6950135501674</v>
      </c>
      <c r="BS9">
        <f ca="1" t="shared" si="89"/>
        <v>6.245375758397</v>
      </c>
      <c r="BT9" s="10" t="e">
        <f ca="1" t="shared" si="19"/>
        <v>#DIV/0!</v>
      </c>
      <c r="BU9" t="e">
        <f ca="1" t="shared" si="20"/>
        <v>#DIV/0!</v>
      </c>
      <c r="BV9" t="e">
        <f ca="1" t="shared" si="90"/>
        <v>#DIV/0!</v>
      </c>
      <c r="BW9" t="e">
        <f ca="1">IF(BT9-VLOOKUP($BT$2,Input_Output!$G$2:$L$6,6,FALSE)&lt;0,0,BT9-VLOOKUP($BT$2,Input_Output!$G$2:$L$6,6,FALSE))*dt</f>
        <v>#DIV/0!</v>
      </c>
      <c r="BX9" t="e">
        <f ca="1" t="shared" si="91"/>
        <v>#DIV/0!</v>
      </c>
      <c r="BY9" t="b">
        <f t="shared" si="46"/>
        <v>0</v>
      </c>
      <c r="BZ9">
        <f ca="1" t="shared" si="47"/>
        <v>0</v>
      </c>
      <c r="CA9" t="b">
        <f t="shared" si="48"/>
        <v>0</v>
      </c>
      <c r="CB9">
        <f ca="1" t="shared" si="49"/>
        <v>0</v>
      </c>
      <c r="CC9" t="b">
        <f t="shared" si="50"/>
        <v>0</v>
      </c>
      <c r="CD9" s="11">
        <f ca="1" t="shared" si="51"/>
        <v>0</v>
      </c>
      <c r="CE9">
        <f ca="1" t="shared" si="21"/>
        <v>54.8419100214935</v>
      </c>
      <c r="CF9">
        <f ca="1" t="shared" si="22"/>
        <v>1.37104775053734</v>
      </c>
      <c r="CG9">
        <f ca="1" t="shared" si="92"/>
        <v>5.55156006761066</v>
      </c>
      <c r="CH9">
        <f ca="1">IF(CE9-VLOOKUP($CE$2,Input_Output!$G$2:$L$6,6,FALSE)&lt;0,0,CE9-VLOOKUP($CE$2,Input_Output!$G$2:$L$6,6,FALSE))*dt</f>
        <v>0</v>
      </c>
      <c r="CI9">
        <f ca="1" t="shared" si="93"/>
        <v>0</v>
      </c>
      <c r="CJ9" t="b">
        <f t="shared" si="52"/>
        <v>0</v>
      </c>
      <c r="CK9">
        <f ca="1" t="shared" si="53"/>
        <v>0</v>
      </c>
      <c r="CL9" t="b">
        <f t="shared" si="54"/>
        <v>0</v>
      </c>
      <c r="CM9">
        <f ca="1" t="shared" si="55"/>
        <v>0</v>
      </c>
      <c r="CN9" t="b">
        <f t="shared" si="56"/>
        <v>0</v>
      </c>
      <c r="CO9" s="11">
        <f ca="1" t="shared" si="57"/>
        <v>0</v>
      </c>
      <c r="CP9">
        <f ca="1" t="shared" si="23"/>
        <v>60.3239339306149</v>
      </c>
      <c r="CQ9">
        <f ca="1" t="shared" si="24"/>
        <v>1.50809834826537</v>
      </c>
      <c r="CR9">
        <f ca="1" t="shared" si="94"/>
        <v>6.10658482659233</v>
      </c>
      <c r="CS9">
        <f ca="1">IF(CP9-VLOOKUP($CP$2,Input_Output!$G$2:$L$6,6,FALSE)&lt;0,0,CP9-VLOOKUP($CP$2,Input_Output!$G$2:$L$6,6,FALSE))*dt</f>
        <v>0</v>
      </c>
      <c r="CT9">
        <f ca="1" t="shared" si="95"/>
        <v>0</v>
      </c>
      <c r="CU9" t="b">
        <f t="shared" si="58"/>
        <v>0</v>
      </c>
      <c r="CV9">
        <f ca="1" t="shared" si="59"/>
        <v>0</v>
      </c>
      <c r="CW9" t="b">
        <f t="shared" si="60"/>
        <v>0</v>
      </c>
      <c r="CX9">
        <f ca="1" t="shared" si="61"/>
        <v>0</v>
      </c>
      <c r="CY9" t="b">
        <f t="shared" si="62"/>
        <v>0</v>
      </c>
      <c r="CZ9" s="11">
        <f ca="1" t="shared" si="63"/>
        <v>0</v>
      </c>
      <c r="DA9">
        <f ca="1" t="shared" si="25"/>
        <v>61.6950135501674</v>
      </c>
      <c r="DB9">
        <f ca="1" t="shared" si="26"/>
        <v>1.54237533875418</v>
      </c>
      <c r="DC9">
        <f ca="1" t="shared" si="96"/>
        <v>6.245375758397</v>
      </c>
      <c r="DD9">
        <f ca="1">IF(DA9-VLOOKUP($DA$2,Input_Output!$G$2:$L$6,6,FALSE)&lt;0,0,DA9-VLOOKUP($DA$2,Input_Output!$G$2:$L$6,6,FALSE))*dt</f>
        <v>0</v>
      </c>
      <c r="DE9">
        <f ca="1" t="shared" si="97"/>
        <v>0</v>
      </c>
      <c r="DF9" t="b">
        <f t="shared" si="64"/>
        <v>0</v>
      </c>
      <c r="DG9">
        <f ca="1" t="shared" si="98"/>
        <v>0</v>
      </c>
      <c r="DH9" t="b">
        <f t="shared" si="65"/>
        <v>0</v>
      </c>
      <c r="DI9">
        <f ca="1" t="shared" si="99"/>
        <v>0</v>
      </c>
      <c r="DJ9" t="b">
        <f t="shared" si="66"/>
        <v>0</v>
      </c>
      <c r="DK9" s="11">
        <f ca="1" t="shared" si="100"/>
        <v>0</v>
      </c>
    </row>
    <row r="10" spans="1:115">
      <c r="A10">
        <v>8</v>
      </c>
      <c r="B10">
        <f t="shared" si="27"/>
        <v>0.2</v>
      </c>
      <c r="C10" t="str">
        <f ca="1">IF(O9&gt;P9,VLOOKUP(Calcs!C9,Input_Output!$AN$11:$AS$30,6,FALSE),C9)</f>
        <v>A1</v>
      </c>
      <c r="D10" t="str">
        <f ca="1" t="shared" si="67"/>
        <v>A</v>
      </c>
      <c r="E10" t="str">
        <f ca="1">VLOOKUP(D10,Input_Output!$B$2:$E$5,2,FALSE)</f>
        <v>E</v>
      </c>
      <c r="F10" t="str">
        <f ca="1">VLOOKUP(D10,Input_Output!$B$2:$E$5,3,FALSE)</f>
        <v>D</v>
      </c>
      <c r="G10" t="str">
        <f ca="1">VLOOKUP(D10,Input_Output!$B$2:$E$5,4,FALSE)</f>
        <v>B</v>
      </c>
      <c r="H10" s="9">
        <f ca="1">IFERROR(IF(NOT(C10=C9),VLOOKUP(C9,Input_Output!$AN$11:$AV$30,9,FALSE)+O9+O10+(N10*dt),H9+(N10*dt)),tot_dist_end+10)</f>
        <v>0.040085248362141</v>
      </c>
      <c r="I10" s="6">
        <f ca="1" t="array" ref="I10">IF(OR(Q10=1,Q10=2),Starter_power_increment,Power_increment)+IF(OR(Q10=1,Q10=2),IF(Lap1profile="Male",laponepm(B10),laponepf(B10)),VLOOKUP(_xlfn.SINGLE(Rider_P1),Input_Output!$G$2:$P$6,(7+J10),FALSE))*Efficiency</f>
        <v>68.0375427750227</v>
      </c>
      <c r="J10" s="21" t="str">
        <f ca="1" t="shared" si="68"/>
        <v>1</v>
      </c>
      <c r="K10">
        <f ca="1" t="shared" si="29"/>
        <v>0.396461113078751</v>
      </c>
      <c r="L10">
        <f ca="1" t="shared" si="30"/>
        <v>0.00991152782696877</v>
      </c>
      <c r="M10">
        <f ca="1" t="shared" si="31"/>
        <v>0.040085248362141</v>
      </c>
      <c r="N10">
        <f ca="1" t="shared" si="101"/>
        <v>0.348954759607807</v>
      </c>
      <c r="O10" s="22">
        <f ca="1" t="shared" si="33"/>
        <v>0.040085248362141</v>
      </c>
      <c r="P10" s="8">
        <f ca="1">VLOOKUP(C10,Input_Output!$AN$11:$AT$30,7,FALSE)</f>
        <v>565.333629702347</v>
      </c>
      <c r="Q10" s="27">
        <f ca="1" t="shared" si="102"/>
        <v>1</v>
      </c>
      <c r="R10" s="6">
        <f ca="1">VLOOKUP(Q10,Input_Output!$AH$11:$AI$43,2,FALSE)</f>
        <v>125.62969548941</v>
      </c>
      <c r="S10" s="27" t="b">
        <f ca="1" t="shared" si="69"/>
        <v>0</v>
      </c>
      <c r="T10" s="12" t="str">
        <f ca="1" t="shared" si="70"/>
        <v> </v>
      </c>
      <c r="U10" s="12">
        <f ca="1" t="shared" si="2"/>
        <v>0.0400852483625105</v>
      </c>
      <c r="V10" s="28">
        <f ca="1" t="shared" si="34"/>
        <v>0.000319074628067449</v>
      </c>
      <c r="W10" s="8">
        <f ca="1">VLOOKUP(V10,Track_geometry_lookup!$A$3:$E$1003,2,TRUE)</f>
        <v>10000</v>
      </c>
      <c r="X10" s="12">
        <f ca="1">VLOOKUP(V10,Track_geometry_lookup!$A$3:$E$1003,3,TRUE)</f>
        <v>0.225147473507269</v>
      </c>
      <c r="Y10" s="12">
        <f ca="1">IF(Vel_whls&lt;6,0,(RADIANS(90)-(VLOOKUP(W10,Lean_angle_lookup!$A$3:$AP$244,VLOOKUP(Vel_whls,Lean_angle_lookup!$AU$3:$AV$48,2,TRUE),TRUE))))</f>
        <v>0</v>
      </c>
      <c r="Z10" s="6">
        <f ca="1">VLOOKUP(Rider_P1,Input_Output!$G$2:$K$6,5,FALSE)</f>
        <v>1.03</v>
      </c>
      <c r="AA10" s="8">
        <f ca="1">Static_mass_delta+VLOOKUP(Rider_P1,Input_Output!$G$2:$I$6,3,FALSE)</f>
        <v>88</v>
      </c>
      <c r="AB10" s="12">
        <f ca="1">P1_CDA_factor*(CDA_delta+IF(t&lt;Time_standing,VLOOKUP(Rider_P1,Input_Output!$G$2:$S$6,13,FALSE),VLOOKUP(Rider_P1,Input_Output!$G$2:$J$6,4,FALSE)))</f>
        <v>0.49</v>
      </c>
      <c r="AC10" s="12">
        <f ca="1" t="shared" si="3"/>
        <v>1.24115068299879e-6</v>
      </c>
      <c r="AD10" s="12">
        <f ca="1" t="shared" si="71"/>
        <v>1.24127853452918e-6</v>
      </c>
      <c r="AE10" s="12">
        <f ca="1" t="shared" si="72"/>
        <v>1.24127853452917e-6</v>
      </c>
      <c r="AF10" s="6">
        <f ca="1" t="shared" si="73"/>
        <v>7.1120021228705e-5</v>
      </c>
      <c r="AG10" s="8">
        <f ca="1" t="shared" si="74"/>
        <v>89.9999288799788</v>
      </c>
      <c r="AH10" s="6">
        <f ca="1" t="shared" si="75"/>
        <v>9999.99999872148</v>
      </c>
      <c r="AI10" s="9">
        <f ca="1" t="shared" si="37"/>
        <v>3.48954759607807e-5</v>
      </c>
      <c r="AJ10">
        <f ca="1" t="shared" si="6"/>
        <v>863.280000001052</v>
      </c>
      <c r="AK10" s="6">
        <f ca="1" t="shared" si="7"/>
        <v>345.312000000421</v>
      </c>
      <c r="AL10" s="6">
        <f ca="1" t="shared" si="8"/>
        <v>517.968000000631</v>
      </c>
      <c r="AM10" s="6">
        <f ca="1" t="shared" si="9"/>
        <v>0.603815042781701</v>
      </c>
      <c r="AN10" s="6">
        <f ca="1" t="shared" si="10"/>
        <v>0.905722564172552</v>
      </c>
      <c r="AO10" s="6">
        <f ca="1" t="shared" si="38"/>
        <v>0.210704133101466</v>
      </c>
      <c r="AP10" s="6">
        <f ca="1" t="shared" si="11"/>
        <v>0.316056199652199</v>
      </c>
      <c r="AQ10" s="8">
        <f ca="1" t="shared" si="76"/>
        <v>77.1</v>
      </c>
      <c r="AR10" s="6">
        <f ca="1" t="shared" si="77"/>
        <v>12.8999288799788</v>
      </c>
      <c r="AS10" s="6">
        <f ca="1">VLOOKUP(Q10,Input_Output!$A$57:$B$88,2,FALSE)</f>
        <v>0</v>
      </c>
      <c r="AT10" s="6">
        <f ca="1" t="shared" si="12"/>
        <v>0.526760332753665</v>
      </c>
      <c r="AU10">
        <f ca="1" t="shared" si="41"/>
        <v>0.0178629726758208</v>
      </c>
      <c r="AV10">
        <f ca="1" t="shared" si="13"/>
        <v>67.4929194695932</v>
      </c>
      <c r="AW10">
        <f ca="1" t="shared" si="78"/>
        <v>170.23843510268</v>
      </c>
      <c r="AX10">
        <f ca="1" t="shared" si="79"/>
        <v>1.90386604824086</v>
      </c>
      <c r="AY10">
        <f ca="1" t="shared" si="80"/>
        <v>1.70093856937557</v>
      </c>
      <c r="AZ10">
        <f ca="1" t="shared" si="81"/>
        <v>7.75026256724508</v>
      </c>
      <c r="BA10" t="b">
        <f ca="1" t="shared" si="82"/>
        <v>0</v>
      </c>
      <c r="BB10">
        <f ca="1" t="shared" si="83"/>
        <v>138.852128112291</v>
      </c>
      <c r="BC10">
        <f ca="1" t="shared" si="15"/>
        <v>66.4231790321805</v>
      </c>
      <c r="BE10">
        <f ca="1">P2_CDA_factor*(CDA_delta+IF(t&lt;Time_standing,VLOOKUP(Rider_P2,Input_Output!$G$2:$S$6,13,FALSE),VLOOKUP(Rider_P2,Input_Output!$G$2:$J$6,4,FALSE)))*0.5*rho*Vel_CoM*(Vel_CoM-Rel_airspeed)^2</f>
        <v>0.0127592661970148</v>
      </c>
      <c r="BF10">
        <f ca="1">Power_RR*VLOOKUP(Rider_P2,Input_Output!$G$2:$I$6,3,FALSE)/Mass</f>
        <v>0.478873029776059</v>
      </c>
      <c r="BG10">
        <f ca="1">VLOOKUP(Rider_P2,Input_Output!$G$2:$I$6,3,FALSE)*accel*Vel_CoM</f>
        <v>60.3847082110732</v>
      </c>
      <c r="BH10">
        <f ca="1" t="shared" si="84"/>
        <v>62.4372723149193</v>
      </c>
      <c r="BI10">
        <f ca="1" t="shared" si="85"/>
        <v>7.11249187548364</v>
      </c>
      <c r="BJ10">
        <f ca="1">P3_CDA_factor*(CDA_delta+IF(t&lt;Time_standing,VLOOKUP(Rider_P3,Input_Output!$G$2:$S$6,13,FALSE),VLOOKUP(Rider_P3,Input_Output!$G$2:$J$6,4,FALSE)))*0.5*rho*Vel_CoM*(Vel_CoM-Rel_airspeed)^2</f>
        <v>0.0109365138831556</v>
      </c>
      <c r="BK10">
        <f ca="1">Power_RR*VLOOKUP(Rider_P3,Input_Output!$G$2:$I$6,3,FALSE)/Mass</f>
        <v>0.526760332753665</v>
      </c>
      <c r="BL10">
        <f ca="1">VLOOKUP(Rider_P3,Input_Output!$G$2:$I$6,3,FALSE)*accel*Vel_CoM</f>
        <v>66.4231790321805</v>
      </c>
      <c r="BM10">
        <f ca="1" t="shared" si="86"/>
        <v>68.6778214141716</v>
      </c>
      <c r="BN10">
        <f ca="1" t="shared" si="87"/>
        <v>7.82353036194662</v>
      </c>
      <c r="BO10">
        <f ca="1">P4_CDA_factor*(CDA_delta+IF(t&lt;Time_standing,VLOOKUP(Rider_P4,Input_Output!$G$2:$S$6,13,FALSE),VLOOKUP(Rider_P4,Input_Output!$G$2:$J$6,4,FALSE)))*0.5*rho*Vel_CoM*(Vel_CoM-Rel_airspeed)^2</f>
        <v>0.0113010643459274</v>
      </c>
      <c r="BP10">
        <f ca="1">Power_RR*VLOOKUP(Rider_P4,Input_Output!$G$2:$I$6,3,FALSE)/Mass</f>
        <v>0.538732158498066</v>
      </c>
      <c r="BQ10">
        <f ca="1">VLOOKUP(Rider_P4,Input_Output!$G$2:$I$6,3,FALSE)*accel*Vel_CoM</f>
        <v>67.9327967374574</v>
      </c>
      <c r="BR10">
        <f ca="1" t="shared" si="88"/>
        <v>70.2387999592834</v>
      </c>
      <c r="BS10">
        <f ca="1" t="shared" si="89"/>
        <v>8.00134575737908</v>
      </c>
      <c r="BT10" s="10" t="e">
        <f ca="1" t="shared" si="19"/>
        <v>#DIV/0!</v>
      </c>
      <c r="BU10" t="e">
        <f ca="1" t="shared" si="20"/>
        <v>#DIV/0!</v>
      </c>
      <c r="BV10" t="e">
        <f ca="1" t="shared" si="90"/>
        <v>#DIV/0!</v>
      </c>
      <c r="BW10" t="e">
        <f ca="1">IF(BT10-VLOOKUP($BT$2,Input_Output!$G$2:$L$6,6,FALSE)&lt;0,0,BT10-VLOOKUP($BT$2,Input_Output!$G$2:$L$6,6,FALSE))*dt</f>
        <v>#DIV/0!</v>
      </c>
      <c r="BX10" t="e">
        <f ca="1" t="shared" si="91"/>
        <v>#DIV/0!</v>
      </c>
      <c r="BY10" t="b">
        <f t="shared" si="46"/>
        <v>0</v>
      </c>
      <c r="BZ10">
        <f ca="1" t="shared" si="47"/>
        <v>0</v>
      </c>
      <c r="CA10" t="b">
        <f t="shared" si="48"/>
        <v>0</v>
      </c>
      <c r="CB10">
        <f ca="1" t="shared" si="49"/>
        <v>0</v>
      </c>
      <c r="CC10" t="b">
        <f t="shared" si="50"/>
        <v>0</v>
      </c>
      <c r="CD10" s="11">
        <f ca="1" t="shared" si="51"/>
        <v>0</v>
      </c>
      <c r="CE10">
        <f ca="1" t="shared" si="21"/>
        <v>62.4372723149193</v>
      </c>
      <c r="CF10">
        <f ca="1" t="shared" si="22"/>
        <v>1.56093180787298</v>
      </c>
      <c r="CG10">
        <f ca="1" t="shared" si="92"/>
        <v>7.11249187548364</v>
      </c>
      <c r="CH10">
        <f ca="1">IF(CE10-VLOOKUP($CE$2,Input_Output!$G$2:$L$6,6,FALSE)&lt;0,0,CE10-VLOOKUP($CE$2,Input_Output!$G$2:$L$6,6,FALSE))*dt</f>
        <v>0</v>
      </c>
      <c r="CI10">
        <f ca="1" t="shared" si="93"/>
        <v>0</v>
      </c>
      <c r="CJ10" t="b">
        <f t="shared" si="52"/>
        <v>0</v>
      </c>
      <c r="CK10">
        <f ca="1" t="shared" si="53"/>
        <v>0</v>
      </c>
      <c r="CL10" t="b">
        <f t="shared" si="54"/>
        <v>0</v>
      </c>
      <c r="CM10">
        <f ca="1" t="shared" si="55"/>
        <v>0</v>
      </c>
      <c r="CN10" t="b">
        <f t="shared" si="56"/>
        <v>0</v>
      </c>
      <c r="CO10" s="11">
        <f ca="1" t="shared" si="57"/>
        <v>0</v>
      </c>
      <c r="CP10">
        <f ca="1" t="shared" si="23"/>
        <v>68.6778214141716</v>
      </c>
      <c r="CQ10">
        <f ca="1" t="shared" si="24"/>
        <v>1.71694553535429</v>
      </c>
      <c r="CR10">
        <f ca="1" t="shared" si="94"/>
        <v>7.82353036194662</v>
      </c>
      <c r="CS10">
        <f ca="1">IF(CP10-VLOOKUP($CP$2,Input_Output!$G$2:$L$6,6,FALSE)&lt;0,0,CP10-VLOOKUP($CP$2,Input_Output!$G$2:$L$6,6,FALSE))*dt</f>
        <v>0</v>
      </c>
      <c r="CT10">
        <f ca="1" t="shared" si="95"/>
        <v>0</v>
      </c>
      <c r="CU10" t="b">
        <f t="shared" si="58"/>
        <v>0</v>
      </c>
      <c r="CV10">
        <f ca="1" t="shared" si="59"/>
        <v>0</v>
      </c>
      <c r="CW10" t="b">
        <f t="shared" si="60"/>
        <v>0</v>
      </c>
      <c r="CX10">
        <f ca="1" t="shared" si="61"/>
        <v>0</v>
      </c>
      <c r="CY10" t="b">
        <f t="shared" si="62"/>
        <v>0</v>
      </c>
      <c r="CZ10" s="11">
        <f ca="1" t="shared" si="63"/>
        <v>0</v>
      </c>
      <c r="DA10">
        <f ca="1" t="shared" si="25"/>
        <v>70.2387999592834</v>
      </c>
      <c r="DB10">
        <f ca="1" t="shared" si="26"/>
        <v>1.75596999898209</v>
      </c>
      <c r="DC10">
        <f ca="1" t="shared" si="96"/>
        <v>8.00134575737908</v>
      </c>
      <c r="DD10">
        <f ca="1">IF(DA10-VLOOKUP($DA$2,Input_Output!$G$2:$L$6,6,FALSE)&lt;0,0,DA10-VLOOKUP($DA$2,Input_Output!$G$2:$L$6,6,FALSE))*dt</f>
        <v>0</v>
      </c>
      <c r="DE10">
        <f ca="1" t="shared" si="97"/>
        <v>0</v>
      </c>
      <c r="DF10" t="b">
        <f t="shared" si="64"/>
        <v>0</v>
      </c>
      <c r="DG10">
        <f ca="1" t="shared" si="98"/>
        <v>0</v>
      </c>
      <c r="DH10" t="b">
        <f t="shared" si="65"/>
        <v>0</v>
      </c>
      <c r="DI10">
        <f ca="1" t="shared" si="99"/>
        <v>0</v>
      </c>
      <c r="DJ10" t="b">
        <f t="shared" si="66"/>
        <v>0</v>
      </c>
      <c r="DK10" s="11">
        <f ca="1" t="shared" si="100"/>
        <v>0</v>
      </c>
    </row>
    <row r="11" spans="1:115">
      <c r="A11">
        <v>9</v>
      </c>
      <c r="B11">
        <f t="shared" si="27"/>
        <v>0.225</v>
      </c>
      <c r="C11" t="str">
        <f ca="1">IF(O10&gt;P10,VLOOKUP(Calcs!C10,Input_Output!$AN$11:$AS$30,6,FALSE),C10)</f>
        <v>A1</v>
      </c>
      <c r="D11" t="str">
        <f ca="1" t="shared" si="67"/>
        <v>A</v>
      </c>
      <c r="E11" t="str">
        <f ca="1">VLOOKUP(D11,Input_Output!$B$2:$E$5,2,FALSE)</f>
        <v>E</v>
      </c>
      <c r="F11" t="str">
        <f ca="1">VLOOKUP(D11,Input_Output!$B$2:$E$5,3,FALSE)</f>
        <v>D</v>
      </c>
      <c r="G11" t="str">
        <f ca="1">VLOOKUP(D11,Input_Output!$B$2:$E$5,4,FALSE)</f>
        <v>B</v>
      </c>
      <c r="H11" s="9">
        <f ca="1">IFERROR(IF(NOT(C11=C10),VLOOKUP(C10,Input_Output!$AN$11:$AV$30,9,FALSE)+O10+O11+(N11*dt),H10+(N11*dt)),tot_dist_end+10)</f>
        <v>0.049996776190377</v>
      </c>
      <c r="I11" s="6">
        <f ca="1" t="array" ref="I11">IF(OR(Q11=1,Q11=2),Starter_power_increment,Power_increment)+IF(OR(Q11=1,Q11=2),IF(Lap1profile="Male",laponepm(B11),laponepf(B11)),VLOOKUP(_xlfn.SINGLE(Rider_P1),Input_Output!$G$2:$P$6,(7+J11),FALSE))*Efficiency</f>
        <v>76.2699698529583</v>
      </c>
      <c r="J11" s="21" t="str">
        <f ca="1" t="shared" si="68"/>
        <v>1</v>
      </c>
      <c r="K11">
        <v>0</v>
      </c>
      <c r="L11">
        <f t="shared" si="30"/>
        <v>0</v>
      </c>
      <c r="M11">
        <f ca="1" t="shared" si="31"/>
        <v>0.049996776190377</v>
      </c>
      <c r="N11">
        <f ca="1" t="shared" si="101"/>
        <v>0.396461113129439</v>
      </c>
      <c r="O11" s="22">
        <f ca="1" t="shared" si="33"/>
        <v>0.049996776190377</v>
      </c>
      <c r="P11" s="8">
        <f ca="1">VLOOKUP(C11,Input_Output!$AN$11:$AT$30,7,FALSE)</f>
        <v>565.333629702347</v>
      </c>
      <c r="Q11" s="27">
        <f ca="1" t="shared" si="102"/>
        <v>1</v>
      </c>
      <c r="R11" s="6">
        <f ca="1">VLOOKUP(Q11,Input_Output!$AH$11:$AI$43,2,FALSE)</f>
        <v>125.62969548941</v>
      </c>
      <c r="S11" s="27" t="b">
        <f ca="1" t="shared" si="69"/>
        <v>0</v>
      </c>
      <c r="T11" s="12" t="str">
        <f ca="1" t="shared" si="70"/>
        <v> </v>
      </c>
      <c r="U11" s="12">
        <f ca="1" t="shared" si="2"/>
        <v>0.0499967761907464</v>
      </c>
      <c r="V11" s="28">
        <f ca="1" t="shared" si="34"/>
        <v>0.000397969413170796</v>
      </c>
      <c r="W11" s="8">
        <f ca="1">VLOOKUP(V11,Track_geometry_lookup!$A$3:$E$1003,2,TRUE)</f>
        <v>10000</v>
      </c>
      <c r="X11" s="12">
        <f ca="1">VLOOKUP(V11,Track_geometry_lookup!$A$3:$E$1003,3,TRUE)</f>
        <v>0.225147473507269</v>
      </c>
      <c r="Y11" s="12">
        <f ca="1">IF(Vel_whls&lt;6,0,(RADIANS(90)-(VLOOKUP(W11,Lean_angle_lookup!$A$3:$AP$244,VLOOKUP(Vel_whls,Lean_angle_lookup!$AU$3:$AV$48,2,TRUE),TRUE))))</f>
        <v>0</v>
      </c>
      <c r="Z11" s="6">
        <f ca="1">VLOOKUP(Rider_P1,Input_Output!$G$2:$K$6,5,FALSE)</f>
        <v>1.03</v>
      </c>
      <c r="AA11" s="8">
        <f ca="1">Static_mass_delta+VLOOKUP(Rider_P1,Input_Output!$G$2:$I$6,3,FALSE)</f>
        <v>88</v>
      </c>
      <c r="AB11" s="12">
        <f ca="1">P1_CDA_factor*(CDA_delta+IF(t&lt;Time_standing,VLOOKUP(Rider_P1,Input_Output!$G$2:$S$6,13,FALSE),VLOOKUP(Rider_P1,Input_Output!$G$2:$J$6,4,FALSE)))</f>
        <v>0.49</v>
      </c>
      <c r="AC11" s="12">
        <f ca="1" t="shared" si="3"/>
        <v>1.60209199325213e-6</v>
      </c>
      <c r="AD11" s="12">
        <f ca="1" t="shared" si="71"/>
        <v>1.60225702546139e-6</v>
      </c>
      <c r="AE11" s="12">
        <f ca="1" t="shared" si="72"/>
        <v>1.60225702546136e-6</v>
      </c>
      <c r="AF11" s="6">
        <f ca="1" t="shared" si="73"/>
        <v>9.18025652541212e-5</v>
      </c>
      <c r="AG11" s="8">
        <f ca="1" t="shared" si="74"/>
        <v>89.9999081974347</v>
      </c>
      <c r="AH11" s="6">
        <f ca="1" t="shared" si="75"/>
        <v>9999.99999834967</v>
      </c>
      <c r="AI11" s="9">
        <f ca="1" t="shared" si="37"/>
        <v>3.96461113129439e-5</v>
      </c>
      <c r="AJ11">
        <f ca="1" t="shared" si="6"/>
        <v>863.279999998892</v>
      </c>
      <c r="AK11" s="6">
        <f ca="1" t="shared" si="7"/>
        <v>345.311999999557</v>
      </c>
      <c r="AL11" s="6">
        <f ca="1" t="shared" si="8"/>
        <v>517.967999999335</v>
      </c>
      <c r="AM11" s="6">
        <f ca="1" t="shared" si="9"/>
        <v>0.603814960505149</v>
      </c>
      <c r="AN11" s="6">
        <f ca="1" t="shared" si="10"/>
        <v>0.905722440757724</v>
      </c>
      <c r="AO11" s="6">
        <f ca="1" t="shared" si="38"/>
        <v>0.23938915136608</v>
      </c>
      <c r="AP11" s="6">
        <f ca="1" t="shared" si="11"/>
        <v>0.35908372704912</v>
      </c>
      <c r="AQ11" s="8">
        <f ca="1" t="shared" si="76"/>
        <v>77.1</v>
      </c>
      <c r="AR11" s="6">
        <f ca="1" t="shared" si="77"/>
        <v>12.8999081974348</v>
      </c>
      <c r="AS11" s="6">
        <f ca="1">VLOOKUP(Q11,Input_Output!$A$57:$B$88,2,FALSE)</f>
        <v>0</v>
      </c>
      <c r="AT11" s="6">
        <f ca="1" t="shared" si="12"/>
        <v>0.598472878415199</v>
      </c>
      <c r="AU11">
        <f ca="1" t="shared" si="41"/>
        <v>0</v>
      </c>
      <c r="AV11">
        <f ca="1" t="shared" si="13"/>
        <v>75.6714969745431</v>
      </c>
      <c r="AW11" t="e">
        <f ca="1" t="shared" si="78"/>
        <v>#DIV/0!</v>
      </c>
      <c r="AX11" t="e">
        <f ca="1">F_prop_net/(Mass+(MoI_whl_front/Wheel_radius^2)+(MoI_whl_rear/Wheel_radius^2))</f>
        <v>#DIV/0!</v>
      </c>
      <c r="AY11">
        <f ca="1" t="shared" si="80"/>
        <v>1.90674924632396</v>
      </c>
      <c r="AZ11">
        <f ca="1" t="shared" si="81"/>
        <v>9.65701181356904</v>
      </c>
      <c r="BA11" t="b">
        <f ca="1" t="shared" si="82"/>
        <v>0</v>
      </c>
      <c r="BB11">
        <f ca="1" t="shared" si="83"/>
        <v>155.652999699915</v>
      </c>
      <c r="BC11" t="e">
        <f ca="1" t="shared" si="15"/>
        <v>#DIV/0!</v>
      </c>
      <c r="BE11">
        <f ca="1">P2_CDA_factor*(CDA_delta+IF(t&lt;Time_standing,VLOOKUP(Rider_P2,Input_Output!$G$2:$S$6,13,FALSE),VLOOKUP(Rider_P2,Input_Output!$G$2:$J$6,4,FALSE)))*0.5*rho*Vel_CoM*(Vel_CoM-Rel_airspeed)^2</f>
        <v>0</v>
      </c>
      <c r="BF11">
        <f ca="1">Power_RR*VLOOKUP(Rider_P2,Input_Output!$G$2:$I$6,3,FALSE)/Mass</f>
        <v>0.544066253104727</v>
      </c>
      <c r="BG11" t="e">
        <f ca="1">VLOOKUP(Rider_P2,Input_Output!$G$2:$I$6,3,FALSE)*accel*Vel_CoM</f>
        <v>#DIV/0!</v>
      </c>
      <c r="BH11" t="e">
        <f ca="1" t="shared" si="84"/>
        <v>#DIV/0!</v>
      </c>
      <c r="BI11" t="e">
        <f ca="1" t="shared" si="85"/>
        <v>#DIV/0!</v>
      </c>
      <c r="BJ11">
        <f ca="1">P3_CDA_factor*(CDA_delta+IF(t&lt;Time_standing,VLOOKUP(Rider_P3,Input_Output!$G$2:$S$6,13,FALSE),VLOOKUP(Rider_P3,Input_Output!$G$2:$J$6,4,FALSE)))*0.5*rho*Vel_CoM*(Vel_CoM-Rel_airspeed)^2</f>
        <v>0</v>
      </c>
      <c r="BK11">
        <f ca="1">Power_RR*VLOOKUP(Rider_P3,Input_Output!$G$2:$I$6,3,FALSE)/Mass</f>
        <v>0.598472878415199</v>
      </c>
      <c r="BL11" t="e">
        <f ca="1">VLOOKUP(Rider_P3,Input_Output!$G$2:$I$6,3,FALSE)*accel*Vel_CoM</f>
        <v>#DIV/0!</v>
      </c>
      <c r="BM11" t="e">
        <f ca="1" t="shared" si="86"/>
        <v>#DIV/0!</v>
      </c>
      <c r="BN11" t="e">
        <f ca="1" t="shared" si="87"/>
        <v>#DIV/0!</v>
      </c>
      <c r="BO11">
        <f ca="1">P4_CDA_factor*(CDA_delta+IF(t&lt;Time_standing,VLOOKUP(Rider_P4,Input_Output!$G$2:$S$6,13,FALSE),VLOOKUP(Rider_P4,Input_Output!$G$2:$J$6,4,FALSE)))*0.5*rho*Vel_CoM*(Vel_CoM-Rel_airspeed)^2</f>
        <v>0</v>
      </c>
      <c r="BP11">
        <f ca="1">Power_RR*VLOOKUP(Rider_P4,Input_Output!$G$2:$I$6,3,FALSE)/Mass</f>
        <v>0.612074534742818</v>
      </c>
      <c r="BQ11" t="e">
        <f ca="1">VLOOKUP(Rider_P4,Input_Output!$G$2:$I$6,3,FALSE)*accel*Vel_CoM</f>
        <v>#DIV/0!</v>
      </c>
      <c r="BR11" t="e">
        <f ca="1" t="shared" si="88"/>
        <v>#DIV/0!</v>
      </c>
      <c r="BS11" t="e">
        <f ca="1" t="shared" si="89"/>
        <v>#DIV/0!</v>
      </c>
      <c r="BT11" s="10" t="e">
        <f ca="1" t="shared" si="19"/>
        <v>#DIV/0!</v>
      </c>
      <c r="BU11" t="e">
        <f ca="1" t="shared" si="20"/>
        <v>#DIV/0!</v>
      </c>
      <c r="BV11" t="e">
        <f ca="1" t="shared" si="90"/>
        <v>#DIV/0!</v>
      </c>
      <c r="BW11" t="e">
        <f ca="1">IF(BT11-VLOOKUP($BT$2,Input_Output!$G$2:$L$6,6,FALSE)&lt;0,0,BT11-VLOOKUP($BT$2,Input_Output!$G$2:$L$6,6,FALSE))*dt</f>
        <v>#DIV/0!</v>
      </c>
      <c r="BX11" t="e">
        <f ca="1" t="shared" si="91"/>
        <v>#DIV/0!</v>
      </c>
      <c r="BY11" t="b">
        <f t="shared" si="46"/>
        <v>0</v>
      </c>
      <c r="BZ11">
        <f ca="1" t="shared" si="47"/>
        <v>0</v>
      </c>
      <c r="CA11" t="b">
        <f t="shared" si="48"/>
        <v>0</v>
      </c>
      <c r="CB11">
        <f ca="1" t="shared" si="49"/>
        <v>0</v>
      </c>
      <c r="CC11" t="b">
        <f t="shared" si="50"/>
        <v>0</v>
      </c>
      <c r="CD11" s="11">
        <f ca="1" t="shared" si="51"/>
        <v>0</v>
      </c>
      <c r="CE11" t="e">
        <f ca="1" t="shared" si="21"/>
        <v>#DIV/0!</v>
      </c>
      <c r="CF11" t="e">
        <f ca="1" t="shared" si="22"/>
        <v>#DIV/0!</v>
      </c>
      <c r="CG11" t="e">
        <f ca="1" t="shared" si="92"/>
        <v>#DIV/0!</v>
      </c>
      <c r="CH11" t="e">
        <f ca="1">IF(CE11-VLOOKUP($CE$2,Input_Output!$G$2:$L$6,6,FALSE)&lt;0,0,CE11-VLOOKUP($CE$2,Input_Output!$G$2:$L$6,6,FALSE))*dt</f>
        <v>#DIV/0!</v>
      </c>
      <c r="CI11" t="e">
        <f ca="1" t="shared" si="93"/>
        <v>#DIV/0!</v>
      </c>
      <c r="CJ11" t="b">
        <f t="shared" si="52"/>
        <v>0</v>
      </c>
      <c r="CK11">
        <f ca="1" t="shared" si="53"/>
        <v>0</v>
      </c>
      <c r="CL11" t="b">
        <f t="shared" si="54"/>
        <v>0</v>
      </c>
      <c r="CM11">
        <f ca="1" t="shared" si="55"/>
        <v>0</v>
      </c>
      <c r="CN11" t="b">
        <f t="shared" si="56"/>
        <v>0</v>
      </c>
      <c r="CO11" s="11">
        <f ca="1" t="shared" si="57"/>
        <v>0</v>
      </c>
      <c r="CP11" t="e">
        <f ca="1" t="shared" si="23"/>
        <v>#DIV/0!</v>
      </c>
      <c r="CQ11" t="e">
        <f ca="1" t="shared" si="24"/>
        <v>#DIV/0!</v>
      </c>
      <c r="CR11" t="e">
        <f ca="1" t="shared" si="94"/>
        <v>#DIV/0!</v>
      </c>
      <c r="CS11" t="e">
        <f ca="1">IF(CP11-VLOOKUP($CP$2,Input_Output!$G$2:$L$6,6,FALSE)&lt;0,0,CP11-VLOOKUP($CP$2,Input_Output!$G$2:$L$6,6,FALSE))*dt</f>
        <v>#DIV/0!</v>
      </c>
      <c r="CT11" t="e">
        <f ca="1" t="shared" si="95"/>
        <v>#DIV/0!</v>
      </c>
      <c r="CU11" t="b">
        <f t="shared" si="58"/>
        <v>0</v>
      </c>
      <c r="CV11">
        <f ca="1" t="shared" si="59"/>
        <v>0</v>
      </c>
      <c r="CW11" t="b">
        <f t="shared" si="60"/>
        <v>0</v>
      </c>
      <c r="CX11">
        <f ca="1" t="shared" si="61"/>
        <v>0</v>
      </c>
      <c r="CY11" t="b">
        <f t="shared" si="62"/>
        <v>0</v>
      </c>
      <c r="CZ11" s="11">
        <f ca="1" t="shared" si="63"/>
        <v>0</v>
      </c>
      <c r="DA11" t="e">
        <f ca="1" t="shared" si="25"/>
        <v>#DIV/0!</v>
      </c>
      <c r="DB11" t="e">
        <f ca="1" t="shared" si="26"/>
        <v>#DIV/0!</v>
      </c>
      <c r="DC11" t="e">
        <f ca="1" t="shared" si="96"/>
        <v>#DIV/0!</v>
      </c>
      <c r="DD11" t="e">
        <f ca="1">IF(DA11-VLOOKUP($DA$2,Input_Output!$G$2:$L$6,6,FALSE)&lt;0,0,DA11-VLOOKUP($DA$2,Input_Output!$G$2:$L$6,6,FALSE))*dt</f>
        <v>#DIV/0!</v>
      </c>
      <c r="DE11" t="e">
        <f ca="1" t="shared" si="97"/>
        <v>#DIV/0!</v>
      </c>
      <c r="DF11" t="b">
        <f t="shared" si="64"/>
        <v>0</v>
      </c>
      <c r="DG11">
        <f ca="1" t="shared" si="98"/>
        <v>0</v>
      </c>
      <c r="DH11" t="b">
        <f t="shared" si="65"/>
        <v>0</v>
      </c>
      <c r="DI11">
        <f ca="1" t="shared" si="99"/>
        <v>0</v>
      </c>
      <c r="DJ11" t="b">
        <f t="shared" si="66"/>
        <v>0</v>
      </c>
      <c r="DK11" s="11">
        <f ca="1" t="shared" si="100"/>
        <v>0</v>
      </c>
    </row>
    <row r="12" spans="1:115">
      <c r="A12">
        <v>10</v>
      </c>
      <c r="B12">
        <f t="shared" si="27"/>
        <v>0.25</v>
      </c>
      <c r="C12" t="str">
        <f ca="1">IF(O11&gt;P11,VLOOKUP(Calcs!C11,Input_Output!$AN$11:$AS$30,6,FALSE),C11)</f>
        <v>A1</v>
      </c>
      <c r="D12" t="str">
        <f ca="1" t="shared" si="67"/>
        <v>A</v>
      </c>
      <c r="E12" t="str">
        <f ca="1">VLOOKUP(D12,Input_Output!$B$2:$E$5,2,FALSE)</f>
        <v>E</v>
      </c>
      <c r="F12" t="str">
        <f ca="1">VLOOKUP(D12,Input_Output!$B$2:$E$5,3,FALSE)</f>
        <v>D</v>
      </c>
      <c r="G12" t="str">
        <f ca="1">VLOOKUP(D12,Input_Output!$B$2:$E$5,4,FALSE)</f>
        <v>B</v>
      </c>
      <c r="H12" s="9">
        <f ca="1">IFERROR(IF(NOT(C12=C11),VLOOKUP(C11,Input_Output!$AN$11:$AV$30,9,FALSE)+O11+O12+(N12*dt),H11+(N12*dt)),tot_dist_end+10)</f>
        <v>0.049996776190377</v>
      </c>
      <c r="I12" s="6">
        <f ca="1" t="array" ref="I12">IF(OR(Q12=1,Q12=2),Starter_power_increment,Power_increment)+IF(OR(Q12=1,Q12=2),IF(Lap1profile="Male",laponepm(B12),laponepf(B12)),VLOOKUP(_xlfn.SINGLE(Rider_P1),Input_Output!$G$2:$P$6,(7+J12),FALSE))*Efficiency</f>
        <v>84.4577683064859</v>
      </c>
      <c r="J12" s="21" t="str">
        <f ca="1" t="shared" si="68"/>
        <v>1</v>
      </c>
      <c r="K12" t="e">
        <f ca="1" t="shared" si="29"/>
        <v>#DIV/0!</v>
      </c>
      <c r="L12" t="e">
        <f ca="1" t="shared" si="30"/>
        <v>#DIV/0!</v>
      </c>
      <c r="M12">
        <f ca="1" t="shared" si="31"/>
        <v>0.049996776190377</v>
      </c>
      <c r="N12">
        <f ca="1" t="shared" si="101"/>
        <v>0</v>
      </c>
      <c r="O12" s="22">
        <f ca="1" t="shared" si="33"/>
        <v>0.049996776190377</v>
      </c>
      <c r="P12" s="8">
        <f ca="1">VLOOKUP(C12,Input_Output!$AN$11:$AT$30,7,FALSE)</f>
        <v>565.333629702347</v>
      </c>
      <c r="Q12" s="27">
        <f ca="1" t="shared" si="102"/>
        <v>1</v>
      </c>
      <c r="R12" s="6">
        <f ca="1">VLOOKUP(Q12,Input_Output!$AH$11:$AI$43,2,FALSE)</f>
        <v>125.62969548941</v>
      </c>
      <c r="S12" s="27">
        <f ca="1" t="shared" si="69"/>
        <v>1</v>
      </c>
      <c r="T12" s="12" t="e">
        <f ca="1" t="shared" si="70"/>
        <v>#DIV/0!</v>
      </c>
      <c r="U12" s="12">
        <f ca="1" t="shared" si="2"/>
        <v>0.0499967761907464</v>
      </c>
      <c r="V12" s="28">
        <f ca="1" t="shared" si="34"/>
        <v>0.000397969413170796</v>
      </c>
      <c r="W12" s="8">
        <f ca="1">VLOOKUP(V12,Track_geometry_lookup!$A$3:$E$1003,2,TRUE)</f>
        <v>10000</v>
      </c>
      <c r="X12" s="12">
        <f ca="1">VLOOKUP(V12,Track_geometry_lookup!$A$3:$E$1003,3,TRUE)</f>
        <v>0.225147473507269</v>
      </c>
      <c r="Y12" s="12">
        <f ca="1">IF(Vel_whls&lt;6,0,(RADIANS(90)-(VLOOKUP(W12,Lean_angle_lookup!$A$3:$AP$244,VLOOKUP(Vel_whls,Lean_angle_lookup!$AU$3:$AV$48,2,TRUE),TRUE))))</f>
        <v>0</v>
      </c>
      <c r="Z12" s="6">
        <f ca="1">VLOOKUP(Rider_P1,Input_Output!$G$2:$K$6,5,FALSE)</f>
        <v>1.03</v>
      </c>
      <c r="AA12" s="8">
        <f ca="1">Static_mass_delta+VLOOKUP(Rider_P1,Input_Output!$G$2:$I$6,3,FALSE)</f>
        <v>88</v>
      </c>
      <c r="AB12" s="12">
        <f ca="1">P1_CDA_factor*(CDA_delta+IF(t&lt;Time_standing,VLOOKUP(Rider_P1,Input_Output!$G$2:$S$6,13,FALSE),VLOOKUP(Rider_P1,Input_Output!$G$2:$J$6,4,FALSE)))</f>
        <v>0.49</v>
      </c>
      <c r="AC12" s="12">
        <f ca="1" t="shared" si="3"/>
        <v>0</v>
      </c>
      <c r="AD12" s="12">
        <f ca="1" t="shared" si="71"/>
        <v>0</v>
      </c>
      <c r="AE12" s="12">
        <f ca="1" t="shared" si="72"/>
        <v>0</v>
      </c>
      <c r="AF12" s="6">
        <f ca="1" t="shared" si="73"/>
        <v>0</v>
      </c>
      <c r="AG12" s="8">
        <f ca="1" t="shared" si="74"/>
        <v>90</v>
      </c>
      <c r="AH12" s="6">
        <f ca="1" t="shared" si="75"/>
        <v>10000</v>
      </c>
      <c r="AI12" s="9">
        <f ca="1" t="shared" si="37"/>
        <v>0</v>
      </c>
      <c r="AJ12" t="e">
        <f ca="1" t="shared" si="6"/>
        <v>#DIV/0!</v>
      </c>
      <c r="AK12" s="6" t="e">
        <f ca="1" t="shared" si="7"/>
        <v>#DIV/0!</v>
      </c>
      <c r="AL12" s="6" t="e">
        <f ca="1" t="shared" si="8"/>
        <v>#DIV/0!</v>
      </c>
      <c r="AM12" s="6" t="e">
        <f ca="1" t="shared" si="9"/>
        <v>#DIV/0!</v>
      </c>
      <c r="AN12" s="6" t="e">
        <f ca="1" t="shared" si="10"/>
        <v>#DIV/0!</v>
      </c>
      <c r="AO12" s="6" t="e">
        <f ca="1" t="shared" si="38"/>
        <v>#DIV/0!</v>
      </c>
      <c r="AP12" s="6" t="e">
        <f ca="1" t="shared" si="11"/>
        <v>#DIV/0!</v>
      </c>
      <c r="AQ12" s="8">
        <f ca="1" t="shared" si="76"/>
        <v>77.1</v>
      </c>
      <c r="AR12" s="6">
        <f ca="1" t="shared" si="77"/>
        <v>12.9</v>
      </c>
      <c r="AS12" s="6">
        <f ca="1">VLOOKUP(Q12,Input_Output!$A$57:$B$88,2,FALSE)</f>
        <v>0</v>
      </c>
      <c r="AT12" s="6" t="e">
        <f ca="1" t="shared" si="12"/>
        <v>#DIV/0!</v>
      </c>
      <c r="AU12" t="e">
        <f ca="1" t="shared" si="41"/>
        <v>#DIV/0!</v>
      </c>
      <c r="AV12" t="e">
        <f ca="1" t="shared" si="13"/>
        <v>#DIV/0!</v>
      </c>
      <c r="AW12" t="e">
        <f ca="1" t="shared" si="78"/>
        <v>#DIV/0!</v>
      </c>
      <c r="AX12" t="e">
        <f ca="1" t="shared" si="79"/>
        <v>#DIV/0!</v>
      </c>
      <c r="AY12">
        <f ca="1" t="shared" si="80"/>
        <v>2.11144420766215</v>
      </c>
      <c r="AZ12">
        <f ca="1" t="shared" si="81"/>
        <v>11.7684560212312</v>
      </c>
      <c r="BA12" t="b">
        <f ca="1" t="shared" si="82"/>
        <v>0</v>
      </c>
      <c r="BB12">
        <f ca="1" t="shared" si="83"/>
        <v>172.362792462216</v>
      </c>
      <c r="BC12" t="e">
        <f ca="1" t="shared" si="15"/>
        <v>#DIV/0!</v>
      </c>
      <c r="BE12" t="e">
        <f ca="1">P2_CDA_factor*(CDA_delta+IF(t&lt;Time_standing,VLOOKUP(Rider_P2,Input_Output!$G$2:$S$6,13,FALSE),VLOOKUP(Rider_P2,Input_Output!$G$2:$J$6,4,FALSE)))*0.5*rho*Vel_CoM*(Vel_CoM-Rel_airspeed)^2</f>
        <v>#DIV/0!</v>
      </c>
      <c r="BF12" t="e">
        <f ca="1">Power_RR*VLOOKUP(Rider_P2,Input_Output!$G$2:$I$6,3,FALSE)/Mass</f>
        <v>#DIV/0!</v>
      </c>
      <c r="BG12" t="e">
        <f ca="1">VLOOKUP(Rider_P2,Input_Output!$G$2:$I$6,3,FALSE)*accel*Vel_CoM</f>
        <v>#DIV/0!</v>
      </c>
      <c r="BH12" t="e">
        <f ca="1" t="shared" si="84"/>
        <v>#DIV/0!</v>
      </c>
      <c r="BI12" t="e">
        <f ca="1" t="shared" si="85"/>
        <v>#DIV/0!</v>
      </c>
      <c r="BJ12" t="e">
        <f ca="1">P3_CDA_factor*(CDA_delta+IF(t&lt;Time_standing,VLOOKUP(Rider_P3,Input_Output!$G$2:$S$6,13,FALSE),VLOOKUP(Rider_P3,Input_Output!$G$2:$J$6,4,FALSE)))*0.5*rho*Vel_CoM*(Vel_CoM-Rel_airspeed)^2</f>
        <v>#DIV/0!</v>
      </c>
      <c r="BK12" t="e">
        <f ca="1">Power_RR*VLOOKUP(Rider_P3,Input_Output!$G$2:$I$6,3,FALSE)/Mass</f>
        <v>#DIV/0!</v>
      </c>
      <c r="BL12" t="e">
        <f ca="1">VLOOKUP(Rider_P3,Input_Output!$G$2:$I$6,3,FALSE)*accel*Vel_CoM</f>
        <v>#DIV/0!</v>
      </c>
      <c r="BM12" t="e">
        <f ca="1" t="shared" si="86"/>
        <v>#DIV/0!</v>
      </c>
      <c r="BN12" t="e">
        <f ca="1" t="shared" si="87"/>
        <v>#DIV/0!</v>
      </c>
      <c r="BO12" t="e">
        <f ca="1">P4_CDA_factor*(CDA_delta+IF(t&lt;Time_standing,VLOOKUP(Rider_P4,Input_Output!$G$2:$S$6,13,FALSE),VLOOKUP(Rider_P4,Input_Output!$G$2:$J$6,4,FALSE)))*0.5*rho*Vel_CoM*(Vel_CoM-Rel_airspeed)^2</f>
        <v>#DIV/0!</v>
      </c>
      <c r="BP12" t="e">
        <f ca="1">Power_RR*VLOOKUP(Rider_P4,Input_Output!$G$2:$I$6,3,FALSE)/Mass</f>
        <v>#DIV/0!</v>
      </c>
      <c r="BQ12" t="e">
        <f ca="1">VLOOKUP(Rider_P4,Input_Output!$G$2:$I$6,3,FALSE)*accel*Vel_CoM</f>
        <v>#DIV/0!</v>
      </c>
      <c r="BR12" t="e">
        <f ca="1" t="shared" si="88"/>
        <v>#DIV/0!</v>
      </c>
      <c r="BS12" t="e">
        <f ca="1" t="shared" si="89"/>
        <v>#DIV/0!</v>
      </c>
      <c r="BT12" s="10" t="e">
        <f ca="1" t="shared" si="19"/>
        <v>#DIV/0!</v>
      </c>
      <c r="BU12" t="e">
        <f ca="1" t="shared" si="20"/>
        <v>#DIV/0!</v>
      </c>
      <c r="BV12" t="e">
        <f ca="1" t="shared" si="90"/>
        <v>#DIV/0!</v>
      </c>
      <c r="BW12" t="e">
        <f ca="1">IF(BT12-VLOOKUP($BT$2,Input_Output!$G$2:$L$6,6,FALSE)&lt;0,0,BT12-VLOOKUP($BT$2,Input_Output!$G$2:$L$6,6,FALSE))*dt</f>
        <v>#DIV/0!</v>
      </c>
      <c r="BX12" t="e">
        <f ca="1" t="shared" si="91"/>
        <v>#DIV/0!</v>
      </c>
      <c r="BY12" t="b">
        <f t="shared" si="46"/>
        <v>0</v>
      </c>
      <c r="BZ12">
        <f ca="1" t="shared" si="47"/>
        <v>0</v>
      </c>
      <c r="CA12" t="b">
        <f t="shared" si="48"/>
        <v>0</v>
      </c>
      <c r="CB12">
        <f ca="1" t="shared" si="49"/>
        <v>0</v>
      </c>
      <c r="CC12" t="b">
        <f t="shared" si="50"/>
        <v>0</v>
      </c>
      <c r="CD12" s="11">
        <f ca="1" t="shared" si="51"/>
        <v>0</v>
      </c>
      <c r="CE12" t="e">
        <f ca="1" t="shared" si="21"/>
        <v>#DIV/0!</v>
      </c>
      <c r="CF12" t="e">
        <f ca="1" t="shared" si="22"/>
        <v>#DIV/0!</v>
      </c>
      <c r="CG12" t="e">
        <f ca="1" t="shared" si="92"/>
        <v>#DIV/0!</v>
      </c>
      <c r="CH12" t="e">
        <f ca="1">IF(CE12-VLOOKUP($CE$2,Input_Output!$G$2:$L$6,6,FALSE)&lt;0,0,CE12-VLOOKUP($CE$2,Input_Output!$G$2:$L$6,6,FALSE))*dt</f>
        <v>#DIV/0!</v>
      </c>
      <c r="CI12" t="e">
        <f ca="1" t="shared" si="93"/>
        <v>#DIV/0!</v>
      </c>
      <c r="CJ12" t="b">
        <f t="shared" si="52"/>
        <v>0</v>
      </c>
      <c r="CK12">
        <f ca="1" t="shared" si="53"/>
        <v>0</v>
      </c>
      <c r="CL12" t="b">
        <f t="shared" si="54"/>
        <v>0</v>
      </c>
      <c r="CM12">
        <f ca="1" t="shared" si="55"/>
        <v>0</v>
      </c>
      <c r="CN12" t="b">
        <f t="shared" si="56"/>
        <v>0</v>
      </c>
      <c r="CO12" s="11">
        <f ca="1" t="shared" si="57"/>
        <v>0</v>
      </c>
      <c r="CP12" t="e">
        <f ca="1" t="shared" si="23"/>
        <v>#DIV/0!</v>
      </c>
      <c r="CQ12" t="e">
        <f ca="1" t="shared" si="24"/>
        <v>#DIV/0!</v>
      </c>
      <c r="CR12" t="e">
        <f ca="1" t="shared" si="94"/>
        <v>#DIV/0!</v>
      </c>
      <c r="CS12" t="e">
        <f ca="1">IF(CP12-VLOOKUP($CP$2,Input_Output!$G$2:$L$6,6,FALSE)&lt;0,0,CP12-VLOOKUP($CP$2,Input_Output!$G$2:$L$6,6,FALSE))*dt</f>
        <v>#DIV/0!</v>
      </c>
      <c r="CT12" t="e">
        <f ca="1" t="shared" si="95"/>
        <v>#DIV/0!</v>
      </c>
      <c r="CU12" t="b">
        <f t="shared" si="58"/>
        <v>0</v>
      </c>
      <c r="CV12">
        <f ca="1" t="shared" si="59"/>
        <v>0</v>
      </c>
      <c r="CW12" t="b">
        <f t="shared" si="60"/>
        <v>0</v>
      </c>
      <c r="CX12">
        <f ca="1" t="shared" si="61"/>
        <v>0</v>
      </c>
      <c r="CY12" t="b">
        <f t="shared" si="62"/>
        <v>0</v>
      </c>
      <c r="CZ12" s="11">
        <f ca="1" t="shared" si="63"/>
        <v>0</v>
      </c>
      <c r="DA12" t="e">
        <f ca="1" t="shared" si="25"/>
        <v>#DIV/0!</v>
      </c>
      <c r="DB12" t="e">
        <f ca="1" t="shared" si="26"/>
        <v>#DIV/0!</v>
      </c>
      <c r="DC12" t="e">
        <f ca="1" t="shared" si="96"/>
        <v>#DIV/0!</v>
      </c>
      <c r="DD12" t="e">
        <f ca="1">IF(DA12-VLOOKUP($DA$2,Input_Output!$G$2:$L$6,6,FALSE)&lt;0,0,DA12-VLOOKUP($DA$2,Input_Output!$G$2:$L$6,6,FALSE))*dt</f>
        <v>#DIV/0!</v>
      </c>
      <c r="DE12" t="e">
        <f ca="1" t="shared" si="97"/>
        <v>#DIV/0!</v>
      </c>
      <c r="DF12" t="b">
        <f t="shared" si="64"/>
        <v>0</v>
      </c>
      <c r="DG12">
        <f ca="1" t="shared" si="98"/>
        <v>0</v>
      </c>
      <c r="DH12" t="b">
        <f t="shared" si="65"/>
        <v>0</v>
      </c>
      <c r="DI12">
        <f ca="1" t="shared" si="99"/>
        <v>0</v>
      </c>
      <c r="DJ12" t="b">
        <f t="shared" si="66"/>
        <v>0</v>
      </c>
      <c r="DK12" s="11">
        <f ca="1" t="shared" si="100"/>
        <v>0</v>
      </c>
    </row>
    <row r="13" spans="1:115">
      <c r="A13">
        <v>11</v>
      </c>
      <c r="B13">
        <f t="shared" si="27"/>
        <v>0.275</v>
      </c>
      <c r="C13" t="str">
        <f ca="1">IF(O12&gt;P12,VLOOKUP(Calcs!C12,Input_Output!$AN$11:$AS$30,6,FALSE),C12)</f>
        <v>A1</v>
      </c>
      <c r="D13" t="str">
        <f ca="1" t="shared" si="67"/>
        <v>A</v>
      </c>
      <c r="E13" t="str">
        <f ca="1">VLOOKUP(D13,Input_Output!$B$2:$E$5,2,FALSE)</f>
        <v>E</v>
      </c>
      <c r="F13" t="str">
        <f ca="1">VLOOKUP(D13,Input_Output!$B$2:$E$5,3,FALSE)</f>
        <v>D</v>
      </c>
      <c r="G13" t="str">
        <f ca="1">VLOOKUP(D13,Input_Output!$B$2:$E$5,4,FALSE)</f>
        <v>B</v>
      </c>
      <c r="H13" s="9">
        <f ca="1">IFERROR(IF(NOT(C13=C12),VLOOKUP(C12,Input_Output!$AN$11:$AV$30,9,FALSE)+O12+O13+(N13*dt),H12+(N13*dt)),tot_dist_end+10)</f>
        <v>4030.15025566113</v>
      </c>
      <c r="I13" s="6">
        <f ca="1" t="array" ref="I13">IF(OR(Q13=1,Q13=2),Starter_power_increment,Power_increment)+IF(OR(Q13=1,Q13=2),IF(Lap1profile="Male",laponepm(B13),laponepf(B13)),VLOOKUP(_xlfn.SINGLE(Rider_P1),Input_Output!$G$2:$P$6,(7+J13),FALSE))*Efficiency</f>
        <v>92.6010948304302</v>
      </c>
      <c r="J13" s="21" t="str">
        <f ca="1" t="shared" si="68"/>
        <v>1</v>
      </c>
      <c r="K13" t="e">
        <f ca="1" t="shared" si="29"/>
        <v>#DIV/0!</v>
      </c>
      <c r="L13" t="e">
        <f ca="1" t="shared" si="30"/>
        <v>#DIV/0!</v>
      </c>
      <c r="M13" t="e">
        <f ca="1" t="shared" si="31"/>
        <v>#DIV/0!</v>
      </c>
      <c r="N13" t="e">
        <f ca="1" t="shared" si="101"/>
        <v>#DIV/0!</v>
      </c>
      <c r="O13" s="22" t="e">
        <f ca="1" t="shared" si="33"/>
        <v>#DIV/0!</v>
      </c>
      <c r="P13" s="8">
        <f ca="1">VLOOKUP(C13,Input_Output!$AN$11:$AT$30,7,FALSE)</f>
        <v>565.333629702347</v>
      </c>
      <c r="Q13" s="27">
        <f ca="1" t="shared" si="102"/>
        <v>2</v>
      </c>
      <c r="R13" s="6">
        <f ca="1">VLOOKUP(Q13,Input_Output!$AH$11:$AI$43,2,FALSE)</f>
        <v>251.259390978821</v>
      </c>
      <c r="S13" s="27">
        <f ca="1" t="shared" si="69"/>
        <v>2</v>
      </c>
      <c r="T13" s="12" t="e">
        <f ca="1" t="shared" si="70"/>
        <v>#DIV/0!</v>
      </c>
      <c r="U13" s="12">
        <f ca="1" t="shared" si="2"/>
        <v>3904.52056017172</v>
      </c>
      <c r="V13" s="28">
        <f ca="1" t="shared" si="34"/>
        <v>31.079599014875</v>
      </c>
      <c r="W13" s="8">
        <f ca="1">VLOOKUP(V13,Track_geometry_lookup!$A$3:$E$1003,2,TRUE)</f>
        <v>10000</v>
      </c>
      <c r="X13" s="12">
        <f ca="1">VLOOKUP(V13,Track_geometry_lookup!$A$3:$E$1003,3,TRUE)</f>
        <v>0.229283903834712</v>
      </c>
      <c r="Y13" s="12" t="e">
        <f ca="1">IF(Vel_whls&lt;6,0,(RADIANS(90)-(VLOOKUP(W13,Lean_angle_lookup!$A$3:$AP$244,VLOOKUP(Vel_whls,Lean_angle_lookup!$AU$3:$AV$48,2,TRUE),TRUE))))</f>
        <v>#DIV/0!</v>
      </c>
      <c r="Z13" s="6">
        <f ca="1">VLOOKUP(Rider_P1,Input_Output!$G$2:$K$6,5,FALSE)</f>
        <v>1.03</v>
      </c>
      <c r="AA13" s="8">
        <f ca="1">Static_mass_delta+VLOOKUP(Rider_P1,Input_Output!$G$2:$I$6,3,FALSE)</f>
        <v>88</v>
      </c>
      <c r="AB13" s="12">
        <f ca="1">P1_CDA_factor*(CDA_delta+IF(t&lt;Time_standing,VLOOKUP(Rider_P1,Input_Output!$G$2:$S$6,13,FALSE),VLOOKUP(Rider_P1,Input_Output!$G$2:$J$6,4,FALSE)))</f>
        <v>0.49</v>
      </c>
      <c r="AC13" s="12" t="e">
        <f ca="1" t="shared" si="3"/>
        <v>#DIV/0!</v>
      </c>
      <c r="AD13" s="12" t="e">
        <f ca="1" t="shared" si="71"/>
        <v>#DIV/0!</v>
      </c>
      <c r="AE13" s="12" t="e">
        <f ca="1" t="shared" si="72"/>
        <v>#DIV/0!</v>
      </c>
      <c r="AF13" s="6" t="e">
        <f ca="1" t="shared" si="73"/>
        <v>#DIV/0!</v>
      </c>
      <c r="AG13" s="8" t="e">
        <f ca="1" t="shared" si="74"/>
        <v>#DIV/0!</v>
      </c>
      <c r="AH13" s="6" t="e">
        <f ca="1" t="shared" si="75"/>
        <v>#DIV/0!</v>
      </c>
      <c r="AI13" s="9" t="e">
        <f ca="1" t="shared" si="37"/>
        <v>#DIV/0!</v>
      </c>
      <c r="AJ13" t="e">
        <f ca="1" t="shared" si="6"/>
        <v>#DIV/0!</v>
      </c>
      <c r="AK13" s="6" t="e">
        <f ca="1" t="shared" si="7"/>
        <v>#DIV/0!</v>
      </c>
      <c r="AL13" s="6" t="e">
        <f ca="1" t="shared" si="8"/>
        <v>#DIV/0!</v>
      </c>
      <c r="AM13" s="6" t="e">
        <f ca="1" t="shared" si="9"/>
        <v>#DIV/0!</v>
      </c>
      <c r="AN13" s="6" t="e">
        <f ca="1" t="shared" si="10"/>
        <v>#DIV/0!</v>
      </c>
      <c r="AO13" s="6" t="e">
        <f ca="1" t="shared" si="38"/>
        <v>#DIV/0!</v>
      </c>
      <c r="AP13" s="6" t="e">
        <f ca="1" t="shared" si="11"/>
        <v>#DIV/0!</v>
      </c>
      <c r="AQ13" s="8">
        <f ca="1" t="shared" si="76"/>
        <v>76.8629999999876</v>
      </c>
      <c r="AR13" s="6" t="e">
        <f ca="1" t="shared" si="77"/>
        <v>#DIV/0!</v>
      </c>
      <c r="AS13" s="6">
        <f ca="1">VLOOKUP(Q13,Input_Output!$A$57:$B$88,2,FALSE)</f>
        <v>0</v>
      </c>
      <c r="AT13" s="6" t="e">
        <f ca="1" t="shared" si="12"/>
        <v>#DIV/0!</v>
      </c>
      <c r="AU13" t="e">
        <f ca="1" t="shared" si="41"/>
        <v>#DIV/0!</v>
      </c>
      <c r="AV13" t="e">
        <f ca="1" t="shared" si="13"/>
        <v>#DIV/0!</v>
      </c>
      <c r="AW13" t="e">
        <f ca="1" t="shared" si="78"/>
        <v>#DIV/0!</v>
      </c>
      <c r="AX13" t="e">
        <f ca="1" t="shared" si="79"/>
        <v>#DIV/0!</v>
      </c>
      <c r="AY13">
        <f ca="1" t="shared" si="80"/>
        <v>2.31502737076075</v>
      </c>
      <c r="AZ13">
        <f ca="1" t="shared" si="81"/>
        <v>14.0834833919919</v>
      </c>
      <c r="BA13" t="e">
        <f ca="1" t="shared" si="82"/>
        <v>#DIV/0!</v>
      </c>
      <c r="BB13">
        <f ca="1" t="shared" si="83"/>
        <v>188.981826184551</v>
      </c>
      <c r="BC13" t="e">
        <f ca="1" t="shared" si="15"/>
        <v>#DIV/0!</v>
      </c>
      <c r="BE13" t="e">
        <f ca="1">P2_CDA_factor*(CDA_delta+IF(t&lt;Time_standing,VLOOKUP(Rider_P2,Input_Output!$G$2:$S$6,13,FALSE),VLOOKUP(Rider_P2,Input_Output!$G$2:$J$6,4,FALSE)))*0.5*rho*Vel_CoM*(Vel_CoM-Rel_airspeed)^2</f>
        <v>#DIV/0!</v>
      </c>
      <c r="BF13" t="e">
        <f ca="1">Power_RR*VLOOKUP(Rider_P2,Input_Output!$G$2:$I$6,3,FALSE)/Mass</f>
        <v>#DIV/0!</v>
      </c>
      <c r="BG13" t="e">
        <f ca="1">VLOOKUP(Rider_P2,Input_Output!$G$2:$I$6,3,FALSE)*accel*Vel_CoM</f>
        <v>#DIV/0!</v>
      </c>
      <c r="BH13" t="e">
        <f ca="1" t="shared" si="84"/>
        <v>#DIV/0!</v>
      </c>
      <c r="BI13" t="e">
        <f ca="1" t="shared" si="85"/>
        <v>#DIV/0!</v>
      </c>
      <c r="BJ13" t="e">
        <f ca="1">P3_CDA_factor*(CDA_delta+IF(t&lt;Time_standing,VLOOKUP(Rider_P3,Input_Output!$G$2:$S$6,13,FALSE),VLOOKUP(Rider_P3,Input_Output!$G$2:$J$6,4,FALSE)))*0.5*rho*Vel_CoM*(Vel_CoM-Rel_airspeed)^2</f>
        <v>#DIV/0!</v>
      </c>
      <c r="BK13" t="e">
        <f ca="1">Power_RR*VLOOKUP(Rider_P3,Input_Output!$G$2:$I$6,3,FALSE)/Mass</f>
        <v>#DIV/0!</v>
      </c>
      <c r="BL13" t="e">
        <f ca="1">VLOOKUP(Rider_P3,Input_Output!$G$2:$I$6,3,FALSE)*accel*Vel_CoM</f>
        <v>#DIV/0!</v>
      </c>
      <c r="BM13" t="e">
        <f ca="1" t="shared" si="86"/>
        <v>#DIV/0!</v>
      </c>
      <c r="BN13" t="e">
        <f ca="1" t="shared" si="87"/>
        <v>#DIV/0!</v>
      </c>
      <c r="BO13" t="e">
        <f ca="1">P4_CDA_factor*(CDA_delta+IF(t&lt;Time_standing,VLOOKUP(Rider_P4,Input_Output!$G$2:$S$6,13,FALSE),VLOOKUP(Rider_P4,Input_Output!$G$2:$J$6,4,FALSE)))*0.5*rho*Vel_CoM*(Vel_CoM-Rel_airspeed)^2</f>
        <v>#DIV/0!</v>
      </c>
      <c r="BP13" t="e">
        <f ca="1">Power_RR*VLOOKUP(Rider_P4,Input_Output!$G$2:$I$6,3,FALSE)/Mass</f>
        <v>#DIV/0!</v>
      </c>
      <c r="BQ13" t="e">
        <f ca="1">VLOOKUP(Rider_P4,Input_Output!$G$2:$I$6,3,FALSE)*accel*Vel_CoM</f>
        <v>#DIV/0!</v>
      </c>
      <c r="BR13" t="e">
        <f ca="1" t="shared" si="88"/>
        <v>#DIV/0!</v>
      </c>
      <c r="BS13" t="e">
        <f ca="1" t="shared" si="89"/>
        <v>#DIV/0!</v>
      </c>
      <c r="BT13" s="10" t="e">
        <f ca="1" t="shared" si="19"/>
        <v>#DIV/0!</v>
      </c>
      <c r="BU13" t="e">
        <f ca="1" t="shared" si="20"/>
        <v>#DIV/0!</v>
      </c>
      <c r="BV13" t="e">
        <f ca="1" t="shared" si="90"/>
        <v>#DIV/0!</v>
      </c>
      <c r="BW13" t="e">
        <f ca="1">IF(BT13-VLOOKUP($BT$2,Input_Output!$G$2:$L$6,6,FALSE)&lt;0,0,BT13-VLOOKUP($BT$2,Input_Output!$G$2:$L$6,6,FALSE))*dt</f>
        <v>#DIV/0!</v>
      </c>
      <c r="BX13" t="e">
        <f ca="1" t="shared" si="91"/>
        <v>#DIV/0!</v>
      </c>
      <c r="BY13" t="b">
        <f t="shared" si="46"/>
        <v>0</v>
      </c>
      <c r="BZ13">
        <f ca="1" t="shared" si="47"/>
        <v>0</v>
      </c>
      <c r="CA13" t="b">
        <f t="shared" si="48"/>
        <v>0</v>
      </c>
      <c r="CB13">
        <f ca="1" t="shared" si="49"/>
        <v>0</v>
      </c>
      <c r="CC13" t="b">
        <f t="shared" si="50"/>
        <v>0</v>
      </c>
      <c r="CD13" s="11">
        <f ca="1" t="shared" si="51"/>
        <v>0</v>
      </c>
      <c r="CE13" t="e">
        <f ca="1" t="shared" si="21"/>
        <v>#DIV/0!</v>
      </c>
      <c r="CF13" t="e">
        <f ca="1" t="shared" si="22"/>
        <v>#DIV/0!</v>
      </c>
      <c r="CG13" t="e">
        <f ca="1" t="shared" si="92"/>
        <v>#DIV/0!</v>
      </c>
      <c r="CH13" t="e">
        <f ca="1">IF(CE13-VLOOKUP($CE$2,Input_Output!$G$2:$L$6,6,FALSE)&lt;0,0,CE13-VLOOKUP($CE$2,Input_Output!$G$2:$L$6,6,FALSE))*dt</f>
        <v>#DIV/0!</v>
      </c>
      <c r="CI13" t="e">
        <f ca="1" t="shared" si="93"/>
        <v>#DIV/0!</v>
      </c>
      <c r="CJ13" t="b">
        <f t="shared" si="52"/>
        <v>0</v>
      </c>
      <c r="CK13">
        <f ca="1" t="shared" si="53"/>
        <v>0</v>
      </c>
      <c r="CL13" t="b">
        <f t="shared" si="54"/>
        <v>0</v>
      </c>
      <c r="CM13">
        <f ca="1" t="shared" si="55"/>
        <v>0</v>
      </c>
      <c r="CN13" t="b">
        <f t="shared" si="56"/>
        <v>0</v>
      </c>
      <c r="CO13" s="11">
        <f ca="1" t="shared" si="57"/>
        <v>0</v>
      </c>
      <c r="CP13" t="e">
        <f ca="1" t="shared" si="23"/>
        <v>#DIV/0!</v>
      </c>
      <c r="CQ13" t="e">
        <f ca="1" t="shared" si="24"/>
        <v>#DIV/0!</v>
      </c>
      <c r="CR13" t="e">
        <f ca="1" t="shared" si="94"/>
        <v>#DIV/0!</v>
      </c>
      <c r="CS13" t="e">
        <f ca="1">IF(CP13-VLOOKUP($CP$2,Input_Output!$G$2:$L$6,6,FALSE)&lt;0,0,CP13-VLOOKUP($CP$2,Input_Output!$G$2:$L$6,6,FALSE))*dt</f>
        <v>#DIV/0!</v>
      </c>
      <c r="CT13" t="e">
        <f ca="1" t="shared" si="95"/>
        <v>#DIV/0!</v>
      </c>
      <c r="CU13" t="b">
        <f t="shared" si="58"/>
        <v>0</v>
      </c>
      <c r="CV13">
        <f ca="1" t="shared" si="59"/>
        <v>0</v>
      </c>
      <c r="CW13" t="b">
        <f t="shared" si="60"/>
        <v>0</v>
      </c>
      <c r="CX13">
        <f ca="1" t="shared" si="61"/>
        <v>0</v>
      </c>
      <c r="CY13" t="b">
        <f t="shared" si="62"/>
        <v>0</v>
      </c>
      <c r="CZ13" s="11">
        <f ca="1" t="shared" si="63"/>
        <v>0</v>
      </c>
      <c r="DA13" t="e">
        <f ca="1" t="shared" si="25"/>
        <v>#DIV/0!</v>
      </c>
      <c r="DB13" t="e">
        <f ca="1" t="shared" si="26"/>
        <v>#DIV/0!</v>
      </c>
      <c r="DC13" t="e">
        <f ca="1" t="shared" si="96"/>
        <v>#DIV/0!</v>
      </c>
      <c r="DD13" t="e">
        <f ca="1">IF(DA13-VLOOKUP($DA$2,Input_Output!$G$2:$L$6,6,FALSE)&lt;0,0,DA13-VLOOKUP($DA$2,Input_Output!$G$2:$L$6,6,FALSE))*dt</f>
        <v>#DIV/0!</v>
      </c>
      <c r="DE13" t="e">
        <f ca="1" t="shared" si="97"/>
        <v>#DIV/0!</v>
      </c>
      <c r="DF13" t="b">
        <f t="shared" si="64"/>
        <v>0</v>
      </c>
      <c r="DG13">
        <f ca="1" t="shared" si="98"/>
        <v>0</v>
      </c>
      <c r="DH13" t="b">
        <f t="shared" si="65"/>
        <v>0</v>
      </c>
      <c r="DI13">
        <f ca="1" t="shared" si="99"/>
        <v>0</v>
      </c>
      <c r="DJ13" t="b">
        <f t="shared" si="66"/>
        <v>0</v>
      </c>
      <c r="DK13" s="11">
        <f ca="1" t="shared" si="100"/>
        <v>0</v>
      </c>
    </row>
    <row r="14" spans="1:115">
      <c r="A14">
        <v>12</v>
      </c>
      <c r="B14">
        <f t="shared" si="27"/>
        <v>0.3</v>
      </c>
      <c r="C14" t="e">
        <f ca="1">IF(O13&gt;P13,VLOOKUP(Calcs!C13,Input_Output!$AN$11:$AS$30,6,FALSE),C13)</f>
        <v>#DIV/0!</v>
      </c>
      <c r="D14" t="e">
        <f ca="1" t="shared" ref="D14:D68" si="103">LEFT(C14)</f>
        <v>#DIV/0!</v>
      </c>
      <c r="E14" t="e">
        <f ca="1">VLOOKUP(D14,Input_Output!$B$2:$E$5,2,FALSE)</f>
        <v>#DIV/0!</v>
      </c>
      <c r="F14" t="e">
        <f ca="1">VLOOKUP(D14,Input_Output!$B$2:$E$5,3,FALSE)</f>
        <v>#DIV/0!</v>
      </c>
      <c r="G14" t="e">
        <f ca="1">VLOOKUP(D14,Input_Output!$B$2:$E$5,4,FALSE)</f>
        <v>#DIV/0!</v>
      </c>
      <c r="H14" s="9">
        <f ca="1">IFERROR(IF(NOT(C14=C13),VLOOKUP(C13,Input_Output!$AN$11:$AV$30,9,FALSE)+O13+O14+(N14*dt),H13+(N14*dt)),tot_dist_end+10)</f>
        <v>4030.15025566113</v>
      </c>
      <c r="I14" s="6" t="e">
        <f ca="1" t="array" ref="I14">IF(OR(Q14=1,Q14=2),Starter_power_increment,Power_increment)+IF(OR(Q14=1,Q14=2),IF(Lap1profile="Male",laponepm(B14),laponepf(B14)),VLOOKUP(_xlfn.SINGLE(Rider_P1),Input_Output!$G$2:$P$6,(7+J14),FALSE))*Efficiency</f>
        <v>#NAME?</v>
      </c>
      <c r="J14" s="21" t="e">
        <f ca="1" t="shared" si="28"/>
        <v>#DIV/0!</v>
      </c>
      <c r="K14" t="e">
        <f ca="1" t="shared" ref="K14:K67" si="104">K13+AX13*dt</f>
        <v>#DIV/0!</v>
      </c>
      <c r="L14" t="e">
        <f ca="1" t="shared" si="0"/>
        <v>#DIV/0!</v>
      </c>
      <c r="M14" t="e">
        <f ca="1" t="shared" ref="M14:M67" si="105">K13*dt*(W13/AH13)+M13</f>
        <v>#DIV/0!</v>
      </c>
      <c r="N14" t="e">
        <f ca="1" t="shared" si="32"/>
        <v>#DIV/0!</v>
      </c>
      <c r="O14" s="22" t="e">
        <f ca="1" t="shared" si="33"/>
        <v>#DIV/0!</v>
      </c>
      <c r="P14" s="8" t="e">
        <f ca="1">VLOOKUP(C14,Input_Output!$AN$11:$AT$30,7,FALSE)</f>
        <v>#DIV/0!</v>
      </c>
      <c r="Q14" s="27">
        <f ca="1" t="shared" ref="Q14:Q67" si="106">IF(H14&gt;R13,Q13+1,Q13)</f>
        <v>3</v>
      </c>
      <c r="R14" s="6">
        <f ca="1">VLOOKUP(Q14,Input_Output!$AH$11:$AI$43,2,FALSE)</f>
        <v>376.889086468231</v>
      </c>
      <c r="S14" s="27">
        <f ca="1" t="shared" ref="S14:S67" si="107">IF(R15&gt;R14,Q14,FALSE)</f>
        <v>3</v>
      </c>
      <c r="T14" s="12" t="e">
        <f ca="1" t="shared" si="1"/>
        <v>#DIV/0!</v>
      </c>
      <c r="U14" s="12">
        <f ca="1" t="shared" si="2"/>
        <v>3778.89086468231</v>
      </c>
      <c r="V14" s="28">
        <f ca="1" t="shared" si="34"/>
        <v>30.079599014875</v>
      </c>
      <c r="W14" s="8">
        <f ca="1">VLOOKUP(V14,Track_geometry_lookup!$A$3:$E$1003,2,TRUE)</f>
        <v>10000</v>
      </c>
      <c r="X14" s="12">
        <f ca="1">VLOOKUP(V14,Track_geometry_lookup!$A$3:$E$1003,3,TRUE)</f>
        <v>0.229283903834712</v>
      </c>
      <c r="Y14" s="12" t="e">
        <f ca="1">IF(Vel_whls&lt;6,0,(RADIANS(90)-(VLOOKUP(W14,Lean_angle_lookup!$A$3:$AP$244,VLOOKUP(Vel_whls,Lean_angle_lookup!$AU$3:$AV$48,2,TRUE),TRUE))))</f>
        <v>#DIV/0!</v>
      </c>
      <c r="Z14" s="6" t="e">
        <f ca="1">VLOOKUP(Rider_P1,Input_Output!$G$2:$K$6,5,FALSE)</f>
        <v>#DIV/0!</v>
      </c>
      <c r="AA14" s="8" t="e">
        <f ca="1">Static_mass_delta+VLOOKUP(Rider_P1,Input_Output!$G$2:$I$6,3,FALSE)</f>
        <v>#DIV/0!</v>
      </c>
      <c r="AB14" s="12" t="e">
        <f ca="1">P1_CDA_factor*(CDA_delta+IF(t&lt;Time_standing,VLOOKUP(Rider_P1,Input_Output!$G$2:$S$6,13,FALSE),VLOOKUP(Rider_P1,Input_Output!$G$2:$J$6,4,FALSE)))</f>
        <v>#DIV/0!</v>
      </c>
      <c r="AC14" s="12" t="e">
        <f ca="1" t="shared" si="3"/>
        <v>#DIV/0!</v>
      </c>
      <c r="AD14" s="12" t="e">
        <f ca="1" t="shared" si="4"/>
        <v>#DIV/0!</v>
      </c>
      <c r="AE14" s="12" t="e">
        <f ca="1" t="shared" si="4"/>
        <v>#DIV/0!</v>
      </c>
      <c r="AF14" s="6" t="e">
        <f ca="1" t="shared" si="73"/>
        <v>#DIV/0!</v>
      </c>
      <c r="AG14" s="8" t="e">
        <f ca="1" t="shared" si="74"/>
        <v>#DIV/0!</v>
      </c>
      <c r="AH14" s="6" t="e">
        <f ca="1" t="shared" si="5"/>
        <v>#DIV/0!</v>
      </c>
      <c r="AI14" s="9" t="e">
        <f ca="1" t="shared" si="37"/>
        <v>#DIV/0!</v>
      </c>
      <c r="AJ14" t="e">
        <f ca="1" t="shared" si="6"/>
        <v>#DIV/0!</v>
      </c>
      <c r="AK14" s="6" t="e">
        <f ca="1" t="shared" si="7"/>
        <v>#DIV/0!</v>
      </c>
      <c r="AL14" s="6" t="e">
        <f ca="1" t="shared" si="8"/>
        <v>#DIV/0!</v>
      </c>
      <c r="AM14" s="6" t="e">
        <f ca="1" t="shared" si="9"/>
        <v>#DIV/0!</v>
      </c>
      <c r="AN14" s="6" t="e">
        <f ca="1" t="shared" si="10"/>
        <v>#DIV/0!</v>
      </c>
      <c r="AO14" s="6" t="e">
        <f ca="1" t="shared" si="38"/>
        <v>#DIV/0!</v>
      </c>
      <c r="AP14" s="6" t="e">
        <f ca="1" t="shared" si="11"/>
        <v>#DIV/0!</v>
      </c>
      <c r="AQ14" s="8">
        <f ca="1" t="shared" si="39"/>
        <v>76.8629999999876</v>
      </c>
      <c r="AR14" s="6" t="e">
        <f ca="1" t="shared" si="40"/>
        <v>#DIV/0!</v>
      </c>
      <c r="AS14" s="6">
        <f ca="1">VLOOKUP(Q14,Input_Output!$A$57:$B$88,2,FALSE)</f>
        <v>0</v>
      </c>
      <c r="AT14" s="6" t="e">
        <f ca="1" t="shared" si="12"/>
        <v>#DIV/0!</v>
      </c>
      <c r="AU14" t="e">
        <f ca="1" t="shared" si="41"/>
        <v>#DIV/0!</v>
      </c>
      <c r="AV14" t="e">
        <f ca="1" t="shared" si="13"/>
        <v>#NAME?</v>
      </c>
      <c r="AW14" t="e">
        <f ca="1" t="shared" si="78"/>
        <v>#NAME?</v>
      </c>
      <c r="AX14" t="e">
        <f ca="1" t="shared" si="79"/>
        <v>#NAME?</v>
      </c>
      <c r="AY14" t="e">
        <f ca="1">I14*dt</f>
        <v>#NAME?</v>
      </c>
      <c r="AZ14" t="e">
        <f ca="1" t="shared" ref="AZ14:AZ67" si="108">IF(D14=D13,AZ13+AY14,AY14)</f>
        <v>#DIV/0!</v>
      </c>
      <c r="BA14" t="e">
        <f ca="1" t="shared" ref="BA14:BA66" si="109">IF(NOT(C15=C14),C14,FALSE)</f>
        <v>#DIV/0!</v>
      </c>
      <c r="BB14">
        <f ca="1" t="shared" si="42"/>
        <v>1000</v>
      </c>
      <c r="BC14" t="e">
        <f ca="1" t="shared" si="15"/>
        <v>#DIV/0!</v>
      </c>
      <c r="BE14" t="e">
        <f ca="1">P2_CDA_factor*(CDA_delta+IF(t&lt;Time_standing,VLOOKUP(Rider_P2,Input_Output!$G$2:$S$6,13,FALSE),VLOOKUP(Rider_P2,Input_Output!$G$2:$J$6,4,FALSE)))*0.5*rho*Vel_CoM*(Vel_CoM-Rel_airspeed)^2</f>
        <v>#DIV/0!</v>
      </c>
      <c r="BF14" t="e">
        <f ca="1">Power_RR*VLOOKUP(Rider_P2,Input_Output!$G$2:$I$6,3,FALSE)/Mass</f>
        <v>#DIV/0!</v>
      </c>
      <c r="BG14" t="e">
        <f ca="1">VLOOKUP(Rider_P2,Input_Output!$G$2:$I$6,3,FALSE)*accel*Vel_CoM</f>
        <v>#DIV/0!</v>
      </c>
      <c r="BH14" t="e">
        <f ca="1" t="shared" si="16"/>
        <v>#DIV/0!</v>
      </c>
      <c r="BI14" t="e">
        <f ca="1" t="shared" si="43"/>
        <v>#DIV/0!</v>
      </c>
      <c r="BJ14" t="e">
        <f ca="1">P3_CDA_factor*(CDA_delta+IF(t&lt;Time_standing,VLOOKUP(Rider_P3,Input_Output!$G$2:$S$6,13,FALSE),VLOOKUP(Rider_P3,Input_Output!$G$2:$J$6,4,FALSE)))*0.5*rho*Vel_CoM*(Vel_CoM-Rel_airspeed)^2</f>
        <v>#DIV/0!</v>
      </c>
      <c r="BK14" t="e">
        <f ca="1">Power_RR*VLOOKUP(Rider_P3,Input_Output!$G$2:$I$6,3,FALSE)/Mass</f>
        <v>#DIV/0!</v>
      </c>
      <c r="BL14" t="e">
        <f ca="1">VLOOKUP(Rider_P3,Input_Output!$G$2:$I$6,3,FALSE)*accel*Vel_CoM</f>
        <v>#DIV/0!</v>
      </c>
      <c r="BM14" t="e">
        <f ca="1" t="shared" si="17"/>
        <v>#DIV/0!</v>
      </c>
      <c r="BN14" t="e">
        <f ca="1" t="shared" si="44"/>
        <v>#DIV/0!</v>
      </c>
      <c r="BO14" t="e">
        <f ca="1">P4_CDA_factor*(CDA_delta+IF(t&lt;Time_standing,VLOOKUP(Rider_P4,Input_Output!$G$2:$S$6,13,FALSE),VLOOKUP(Rider_P4,Input_Output!$G$2:$J$6,4,FALSE)))*0.5*rho*Vel_CoM*(Vel_CoM-Rel_airspeed)^2</f>
        <v>#DIV/0!</v>
      </c>
      <c r="BP14" t="e">
        <f ca="1">Power_RR*VLOOKUP(Rider_P4,Input_Output!$G$2:$I$6,3,FALSE)/Mass</f>
        <v>#DIV/0!</v>
      </c>
      <c r="BQ14" t="e">
        <f ca="1">VLOOKUP(Rider_P4,Input_Output!$G$2:$I$6,3,FALSE)*accel*Vel_CoM</f>
        <v>#DIV/0!</v>
      </c>
      <c r="BR14" t="e">
        <f ca="1" t="shared" si="18"/>
        <v>#DIV/0!</v>
      </c>
      <c r="BS14" t="e">
        <f ca="1" t="shared" si="45"/>
        <v>#DIV/0!</v>
      </c>
      <c r="BT14" s="10" t="e">
        <f ca="1" t="shared" si="19"/>
        <v>#DIV/0!</v>
      </c>
      <c r="BU14" t="e">
        <f ca="1" t="shared" si="20"/>
        <v>#DIV/0!</v>
      </c>
      <c r="BV14" t="e">
        <f ca="1" t="shared" ref="BV14:BV68" si="110">BV13+BU14</f>
        <v>#DIV/0!</v>
      </c>
      <c r="BW14" t="e">
        <f ca="1">IF(BT14-VLOOKUP($BT$2,Input_Output!$G$2:$L$6,6,FALSE)&lt;0,0,BT14-VLOOKUP($BT$2,Input_Output!$G$2:$L$6,6,FALSE))*dt</f>
        <v>#DIV/0!</v>
      </c>
      <c r="BX14" t="e">
        <f ca="1" t="shared" si="91"/>
        <v>#DIV/0!</v>
      </c>
      <c r="BY14" t="b">
        <f t="shared" si="46"/>
        <v>0</v>
      </c>
      <c r="BZ14">
        <f ca="1" t="shared" si="47"/>
        <v>0</v>
      </c>
      <c r="CA14" t="b">
        <f t="shared" si="48"/>
        <v>0</v>
      </c>
      <c r="CB14">
        <f ca="1" t="shared" si="49"/>
        <v>0</v>
      </c>
      <c r="CC14" t="b">
        <f t="shared" si="50"/>
        <v>0</v>
      </c>
      <c r="CD14" s="11">
        <f ca="1" t="shared" si="51"/>
        <v>0</v>
      </c>
      <c r="CE14" t="e">
        <f ca="1" t="shared" si="21"/>
        <v>#DIV/0!</v>
      </c>
      <c r="CF14" t="e">
        <f ca="1" t="shared" si="22"/>
        <v>#DIV/0!</v>
      </c>
      <c r="CG14" t="e">
        <f ca="1" t="shared" ref="CG14:CG68" si="111">CG13+CF14</f>
        <v>#DIV/0!</v>
      </c>
      <c r="CH14" t="e">
        <f ca="1">IF(CE14-VLOOKUP($CE$2,Input_Output!$G$2:$L$6,6,FALSE)&lt;0,0,CE14-VLOOKUP($CE$2,Input_Output!$G$2:$L$6,6,FALSE))*dt</f>
        <v>#DIV/0!</v>
      </c>
      <c r="CI14" t="e">
        <f ca="1" t="shared" si="93"/>
        <v>#DIV/0!</v>
      </c>
      <c r="CJ14" t="b">
        <f t="shared" si="52"/>
        <v>0</v>
      </c>
      <c r="CK14">
        <f ca="1" t="shared" si="53"/>
        <v>0</v>
      </c>
      <c r="CL14" t="b">
        <f t="shared" si="54"/>
        <v>0</v>
      </c>
      <c r="CM14">
        <f ca="1" t="shared" si="55"/>
        <v>0</v>
      </c>
      <c r="CN14" t="b">
        <f t="shared" si="56"/>
        <v>0</v>
      </c>
      <c r="CO14" s="11">
        <f ca="1" t="shared" si="57"/>
        <v>0</v>
      </c>
      <c r="CP14" t="e">
        <f ca="1" t="shared" si="23"/>
        <v>#DIV/0!</v>
      </c>
      <c r="CQ14" t="e">
        <f ca="1" t="shared" si="24"/>
        <v>#DIV/0!</v>
      </c>
      <c r="CR14" t="e">
        <f ca="1" t="shared" ref="CR14:CR68" si="112">CR13+CQ14</f>
        <v>#DIV/0!</v>
      </c>
      <c r="CS14" t="e">
        <f ca="1">IF(CP14-VLOOKUP($CP$2,Input_Output!$G$2:$L$6,6,FALSE)&lt;0,0,CP14-VLOOKUP($CP$2,Input_Output!$G$2:$L$6,6,FALSE))*dt</f>
        <v>#DIV/0!</v>
      </c>
      <c r="CT14" t="e">
        <f ca="1" t="shared" si="95"/>
        <v>#DIV/0!</v>
      </c>
      <c r="CU14" t="b">
        <f t="shared" si="58"/>
        <v>0</v>
      </c>
      <c r="CV14">
        <f ca="1" t="shared" si="59"/>
        <v>0</v>
      </c>
      <c r="CW14" t="b">
        <f t="shared" si="60"/>
        <v>0</v>
      </c>
      <c r="CX14">
        <f ca="1" t="shared" si="61"/>
        <v>0</v>
      </c>
      <c r="CY14" t="b">
        <f t="shared" si="62"/>
        <v>0</v>
      </c>
      <c r="CZ14" s="11">
        <f ca="1" t="shared" si="63"/>
        <v>0</v>
      </c>
      <c r="DA14" t="e">
        <f ca="1" t="shared" si="25"/>
        <v>#DIV/0!</v>
      </c>
      <c r="DB14" t="e">
        <f ca="1" t="shared" si="26"/>
        <v>#DIV/0!</v>
      </c>
      <c r="DC14" t="e">
        <f ca="1" t="shared" ref="DC14:DC68" si="113">DC13+DB14</f>
        <v>#DIV/0!</v>
      </c>
      <c r="DD14" t="e">
        <f ca="1">IF(DA14-VLOOKUP($DA$2,Input_Output!$G$2:$L$6,6,FALSE)&lt;0,0,DA14-VLOOKUP($DA$2,Input_Output!$G$2:$L$6,6,FALSE))*dt</f>
        <v>#DIV/0!</v>
      </c>
      <c r="DE14" t="e">
        <f ca="1" t="shared" si="97"/>
        <v>#DIV/0!</v>
      </c>
      <c r="DF14" t="b">
        <f t="shared" si="64"/>
        <v>0</v>
      </c>
      <c r="DG14">
        <f ca="1" t="shared" si="98"/>
        <v>0</v>
      </c>
      <c r="DH14" t="b">
        <f t="shared" si="65"/>
        <v>0</v>
      </c>
      <c r="DI14">
        <f ca="1" t="shared" si="99"/>
        <v>0</v>
      </c>
      <c r="DJ14" t="b">
        <f t="shared" si="66"/>
        <v>0</v>
      </c>
      <c r="DK14" s="11">
        <f ca="1" t="shared" si="100"/>
        <v>0</v>
      </c>
    </row>
    <row r="15" spans="1:115">
      <c r="A15">
        <v>13</v>
      </c>
      <c r="B15">
        <f t="shared" si="27"/>
        <v>0.325</v>
      </c>
      <c r="C15" t="e">
        <f ca="1">IF(O14&gt;P14,VLOOKUP(Calcs!C14,Input_Output!$AN$11:$AS$30,6,FALSE),C14)</f>
        <v>#DIV/0!</v>
      </c>
      <c r="D15" t="e">
        <f ca="1" t="shared" si="103"/>
        <v>#DIV/0!</v>
      </c>
      <c r="E15" t="e">
        <f ca="1">VLOOKUP(D15,Input_Output!$B$2:$E$5,2,FALSE)</f>
        <v>#DIV/0!</v>
      </c>
      <c r="F15" t="e">
        <f ca="1">VLOOKUP(D15,Input_Output!$B$2:$E$5,3,FALSE)</f>
        <v>#DIV/0!</v>
      </c>
      <c r="G15" t="e">
        <f ca="1">VLOOKUP(D15,Input_Output!$B$2:$E$5,4,FALSE)</f>
        <v>#DIV/0!</v>
      </c>
      <c r="H15" s="9">
        <f ca="1">IFERROR(IF(NOT(C15=C14),VLOOKUP(C14,Input_Output!$AN$11:$AV$30,9,FALSE)+O14+O15+(N15*dt),H14+(N15*dt)),tot_dist_end+10)</f>
        <v>4030.15025566113</v>
      </c>
      <c r="I15" s="6" t="e">
        <f ca="1" t="array" ref="I15">IF(OR(Q15=1,Q15=2),Starter_power_increment,Power_increment)+IF(OR(Q15=1,Q15=2),IF(Lap1profile="Male",laponepm(B15),laponepf(B15)),VLOOKUP(_xlfn.SINGLE(Rider_P1),Input_Output!$G$2:$P$6,(7+J15),FALSE))*Efficiency</f>
        <v>#NAME?</v>
      </c>
      <c r="J15" s="21" t="e">
        <f ca="1" t="shared" si="28"/>
        <v>#DIV/0!</v>
      </c>
      <c r="K15" t="e">
        <f ca="1" t="shared" si="104"/>
        <v>#DIV/0!</v>
      </c>
      <c r="L15" t="e">
        <f ca="1" t="shared" si="0"/>
        <v>#DIV/0!</v>
      </c>
      <c r="M15" t="e">
        <f ca="1" t="shared" si="105"/>
        <v>#DIV/0!</v>
      </c>
      <c r="N15" t="e">
        <f ca="1" t="shared" si="32"/>
        <v>#DIV/0!</v>
      </c>
      <c r="O15" s="22" t="e">
        <f ca="1" t="shared" si="33"/>
        <v>#DIV/0!</v>
      </c>
      <c r="P15" s="8" t="e">
        <f ca="1">VLOOKUP(C15,Input_Output!$AN$11:$AT$30,7,FALSE)</f>
        <v>#DIV/0!</v>
      </c>
      <c r="Q15" s="27">
        <f ca="1" t="shared" si="106"/>
        <v>4</v>
      </c>
      <c r="R15" s="6">
        <f ca="1">VLOOKUP(Q15,Input_Output!$AH$11:$AI$43,2,FALSE)</f>
        <v>502.518781957642</v>
      </c>
      <c r="S15" s="27">
        <f ca="1" t="shared" si="107"/>
        <v>4</v>
      </c>
      <c r="T15" s="12" t="e">
        <f ca="1" t="shared" si="1"/>
        <v>#DIV/0!</v>
      </c>
      <c r="U15" s="12">
        <f ca="1" t="shared" si="2"/>
        <v>3653.2611691929</v>
      </c>
      <c r="V15" s="28">
        <f ca="1" t="shared" si="34"/>
        <v>29.079599014875</v>
      </c>
      <c r="W15" s="8">
        <f ca="1">VLOOKUP(V15,Track_geometry_lookup!$A$3:$E$1003,2,TRUE)</f>
        <v>10000</v>
      </c>
      <c r="X15" s="12">
        <f ca="1">VLOOKUP(V15,Track_geometry_lookup!$A$3:$E$1003,3,TRUE)</f>
        <v>0.229283903834712</v>
      </c>
      <c r="Y15" s="12" t="e">
        <f ca="1">IF(Vel_whls&lt;6,0,(RADIANS(90)-(VLOOKUP(W15,Lean_angle_lookup!$A$3:$AP$244,VLOOKUP(Vel_whls,Lean_angle_lookup!$AU$3:$AV$48,2,TRUE),TRUE))))</f>
        <v>#DIV/0!</v>
      </c>
      <c r="Z15" s="6" t="e">
        <f ca="1">VLOOKUP(Rider_P1,Input_Output!$G$2:$K$6,5,FALSE)</f>
        <v>#DIV/0!</v>
      </c>
      <c r="AA15" s="8" t="e">
        <f ca="1">Static_mass_delta+VLOOKUP(Rider_P1,Input_Output!$G$2:$I$6,3,FALSE)</f>
        <v>#DIV/0!</v>
      </c>
      <c r="AB15" s="12" t="e">
        <f ca="1">P1_CDA_factor*(CDA_delta+IF(t&lt;Time_standing,VLOOKUP(Rider_P1,Input_Output!$G$2:$S$6,13,FALSE),VLOOKUP(Rider_P1,Input_Output!$G$2:$J$6,4,FALSE)))</f>
        <v>#DIV/0!</v>
      </c>
      <c r="AC15" s="12" t="e">
        <f ca="1" t="shared" si="3"/>
        <v>#DIV/0!</v>
      </c>
      <c r="AD15" s="12" t="e">
        <f ca="1" t="shared" si="4"/>
        <v>#DIV/0!</v>
      </c>
      <c r="AE15" s="12" t="e">
        <f ca="1" t="shared" si="4"/>
        <v>#DIV/0!</v>
      </c>
      <c r="AF15" s="6" t="e">
        <f ca="1" t="shared" si="73"/>
        <v>#DIV/0!</v>
      </c>
      <c r="AG15" s="8" t="e">
        <f ca="1" t="shared" si="74"/>
        <v>#DIV/0!</v>
      </c>
      <c r="AH15" s="6" t="e">
        <f ca="1" t="shared" si="5"/>
        <v>#DIV/0!</v>
      </c>
      <c r="AI15" s="9" t="e">
        <f ca="1" t="shared" si="37"/>
        <v>#DIV/0!</v>
      </c>
      <c r="AJ15" t="e">
        <f ca="1" t="shared" si="6"/>
        <v>#DIV/0!</v>
      </c>
      <c r="AK15" s="6" t="e">
        <f ca="1" t="shared" si="7"/>
        <v>#DIV/0!</v>
      </c>
      <c r="AL15" s="6" t="e">
        <f ca="1" t="shared" si="8"/>
        <v>#DIV/0!</v>
      </c>
      <c r="AM15" s="6" t="e">
        <f ca="1" t="shared" si="9"/>
        <v>#DIV/0!</v>
      </c>
      <c r="AN15" s="6" t="e">
        <f ca="1" t="shared" si="10"/>
        <v>#DIV/0!</v>
      </c>
      <c r="AO15" s="6" t="e">
        <f ca="1" t="shared" si="38"/>
        <v>#DIV/0!</v>
      </c>
      <c r="AP15" s="6" t="e">
        <f ca="1" t="shared" si="11"/>
        <v>#DIV/0!</v>
      </c>
      <c r="AQ15" s="8">
        <f ca="1" t="shared" si="39"/>
        <v>76.8629999999876</v>
      </c>
      <c r="AR15" s="6" t="e">
        <f ca="1" t="shared" si="40"/>
        <v>#DIV/0!</v>
      </c>
      <c r="AS15" s="6">
        <f ca="1">VLOOKUP(Q15,Input_Output!$A$57:$B$88,2,FALSE)</f>
        <v>0.3</v>
      </c>
      <c r="AT15" s="6" t="e">
        <f ca="1" t="shared" si="12"/>
        <v>#DIV/0!</v>
      </c>
      <c r="AU15" t="e">
        <f ca="1" t="shared" si="41"/>
        <v>#DIV/0!</v>
      </c>
      <c r="AV15" t="e">
        <f ca="1" t="shared" si="13"/>
        <v>#NAME?</v>
      </c>
      <c r="AW15" t="e">
        <f ca="1" t="shared" si="78"/>
        <v>#NAME?</v>
      </c>
      <c r="AX15" t="e">
        <f ca="1" t="shared" si="79"/>
        <v>#NAME?</v>
      </c>
      <c r="AY15" t="e">
        <f ca="1" t="shared" si="14"/>
        <v>#NAME?</v>
      </c>
      <c r="AZ15" t="e">
        <f ca="1" t="shared" si="108"/>
        <v>#DIV/0!</v>
      </c>
      <c r="BA15" t="e">
        <f ca="1" t="shared" si="109"/>
        <v>#DIV/0!</v>
      </c>
      <c r="BB15">
        <f ca="1" t="shared" si="42"/>
        <v>1000</v>
      </c>
      <c r="BC15" t="e">
        <f ca="1" t="shared" si="15"/>
        <v>#DIV/0!</v>
      </c>
      <c r="BE15" t="e">
        <f ca="1">P2_CDA_factor*(CDA_delta+IF(t&lt;Time_standing,VLOOKUP(Rider_P2,Input_Output!$G$2:$S$6,13,FALSE),VLOOKUP(Rider_P2,Input_Output!$G$2:$J$6,4,FALSE)))*0.5*rho*Vel_CoM*(Vel_CoM-Rel_airspeed)^2</f>
        <v>#DIV/0!</v>
      </c>
      <c r="BF15" t="e">
        <f ca="1">Power_RR*VLOOKUP(Rider_P2,Input_Output!$G$2:$I$6,3,FALSE)/Mass</f>
        <v>#DIV/0!</v>
      </c>
      <c r="BG15" t="e">
        <f ca="1">VLOOKUP(Rider_P2,Input_Output!$G$2:$I$6,3,FALSE)*accel*Vel_CoM</f>
        <v>#DIV/0!</v>
      </c>
      <c r="BH15" t="e">
        <f ca="1" t="shared" si="16"/>
        <v>#DIV/0!</v>
      </c>
      <c r="BI15" t="e">
        <f ca="1" t="shared" si="43"/>
        <v>#DIV/0!</v>
      </c>
      <c r="BJ15" t="e">
        <f ca="1">P3_CDA_factor*(CDA_delta+IF(t&lt;Time_standing,VLOOKUP(Rider_P3,Input_Output!$G$2:$S$6,13,FALSE),VLOOKUP(Rider_P3,Input_Output!$G$2:$J$6,4,FALSE)))*0.5*rho*Vel_CoM*(Vel_CoM-Rel_airspeed)^2</f>
        <v>#DIV/0!</v>
      </c>
      <c r="BK15" t="e">
        <f ca="1">Power_RR*VLOOKUP(Rider_P3,Input_Output!$G$2:$I$6,3,FALSE)/Mass</f>
        <v>#DIV/0!</v>
      </c>
      <c r="BL15" t="e">
        <f ca="1">VLOOKUP(Rider_P3,Input_Output!$G$2:$I$6,3,FALSE)*accel*Vel_CoM</f>
        <v>#DIV/0!</v>
      </c>
      <c r="BM15" t="e">
        <f ca="1" t="shared" si="17"/>
        <v>#DIV/0!</v>
      </c>
      <c r="BN15" t="e">
        <f ca="1" t="shared" si="44"/>
        <v>#DIV/0!</v>
      </c>
      <c r="BO15" t="e">
        <f ca="1">P4_CDA_factor*(CDA_delta+IF(t&lt;Time_standing,VLOOKUP(Rider_P4,Input_Output!$G$2:$S$6,13,FALSE),VLOOKUP(Rider_P4,Input_Output!$G$2:$J$6,4,FALSE)))*0.5*rho*Vel_CoM*(Vel_CoM-Rel_airspeed)^2</f>
        <v>#DIV/0!</v>
      </c>
      <c r="BP15" t="e">
        <f ca="1">Power_RR*VLOOKUP(Rider_P4,Input_Output!$G$2:$I$6,3,FALSE)/Mass</f>
        <v>#DIV/0!</v>
      </c>
      <c r="BQ15" t="e">
        <f ca="1">VLOOKUP(Rider_P4,Input_Output!$G$2:$I$6,3,FALSE)*accel*Vel_CoM</f>
        <v>#DIV/0!</v>
      </c>
      <c r="BR15" t="e">
        <f ca="1" t="shared" si="18"/>
        <v>#DIV/0!</v>
      </c>
      <c r="BS15" t="e">
        <f ca="1" t="shared" si="45"/>
        <v>#DIV/0!</v>
      </c>
      <c r="BT15" s="10" t="e">
        <f ca="1" t="shared" si="19"/>
        <v>#DIV/0!</v>
      </c>
      <c r="BU15" t="e">
        <f ca="1" t="shared" si="20"/>
        <v>#DIV/0!</v>
      </c>
      <c r="BV15" t="e">
        <f ca="1" t="shared" si="110"/>
        <v>#DIV/0!</v>
      </c>
      <c r="BW15" t="e">
        <f ca="1">IF(BT15-VLOOKUP($BT$2,Input_Output!$G$2:$L$6,6,FALSE)&lt;0,0,BT15-VLOOKUP($BT$2,Input_Output!$G$2:$L$6,6,FALSE))*dt</f>
        <v>#DIV/0!</v>
      </c>
      <c r="BX15" t="e">
        <f ca="1" t="shared" si="91"/>
        <v>#DIV/0!</v>
      </c>
      <c r="BY15" t="b">
        <f t="shared" si="46"/>
        <v>0</v>
      </c>
      <c r="BZ15">
        <f ca="1" t="shared" si="47"/>
        <v>0</v>
      </c>
      <c r="CA15" t="b">
        <f t="shared" si="48"/>
        <v>0</v>
      </c>
      <c r="CB15">
        <f ca="1" t="shared" si="49"/>
        <v>0</v>
      </c>
      <c r="CC15" t="b">
        <f t="shared" si="50"/>
        <v>0</v>
      </c>
      <c r="CD15" s="11">
        <f ca="1" t="shared" si="51"/>
        <v>0</v>
      </c>
      <c r="CE15" t="e">
        <f ca="1" t="shared" si="21"/>
        <v>#DIV/0!</v>
      </c>
      <c r="CF15" t="e">
        <f ca="1" t="shared" si="22"/>
        <v>#DIV/0!</v>
      </c>
      <c r="CG15" t="e">
        <f ca="1" t="shared" si="111"/>
        <v>#DIV/0!</v>
      </c>
      <c r="CH15" t="e">
        <f ca="1">IF(CE15-VLOOKUP($CE$2,Input_Output!$G$2:$L$6,6,FALSE)&lt;0,0,CE15-VLOOKUP($CE$2,Input_Output!$G$2:$L$6,6,FALSE))*dt</f>
        <v>#DIV/0!</v>
      </c>
      <c r="CI15" t="e">
        <f ca="1" t="shared" si="93"/>
        <v>#DIV/0!</v>
      </c>
      <c r="CJ15" t="b">
        <f t="shared" si="52"/>
        <v>0</v>
      </c>
      <c r="CK15">
        <f ca="1" t="shared" si="53"/>
        <v>0</v>
      </c>
      <c r="CL15" t="b">
        <f t="shared" si="54"/>
        <v>0</v>
      </c>
      <c r="CM15">
        <f ca="1" t="shared" si="55"/>
        <v>0</v>
      </c>
      <c r="CN15" t="b">
        <f t="shared" si="56"/>
        <v>0</v>
      </c>
      <c r="CO15" s="11">
        <f ca="1" t="shared" si="57"/>
        <v>0</v>
      </c>
      <c r="CP15" t="e">
        <f ca="1" t="shared" si="23"/>
        <v>#DIV/0!</v>
      </c>
      <c r="CQ15" t="e">
        <f ca="1" t="shared" si="24"/>
        <v>#DIV/0!</v>
      </c>
      <c r="CR15" t="e">
        <f ca="1" t="shared" si="112"/>
        <v>#DIV/0!</v>
      </c>
      <c r="CS15" t="e">
        <f ca="1">IF(CP15-VLOOKUP($CP$2,Input_Output!$G$2:$L$6,6,FALSE)&lt;0,0,CP15-VLOOKUP($CP$2,Input_Output!$G$2:$L$6,6,FALSE))*dt</f>
        <v>#DIV/0!</v>
      </c>
      <c r="CT15" t="e">
        <f ca="1" t="shared" si="95"/>
        <v>#DIV/0!</v>
      </c>
      <c r="CU15" t="b">
        <f t="shared" si="58"/>
        <v>0</v>
      </c>
      <c r="CV15">
        <f ca="1" t="shared" si="59"/>
        <v>0</v>
      </c>
      <c r="CW15" t="b">
        <f t="shared" si="60"/>
        <v>0</v>
      </c>
      <c r="CX15">
        <f ca="1" t="shared" si="61"/>
        <v>0</v>
      </c>
      <c r="CY15" t="b">
        <f t="shared" si="62"/>
        <v>0</v>
      </c>
      <c r="CZ15" s="11">
        <f ca="1" t="shared" si="63"/>
        <v>0</v>
      </c>
      <c r="DA15" t="e">
        <f ca="1" t="shared" si="25"/>
        <v>#DIV/0!</v>
      </c>
      <c r="DB15" t="e">
        <f ca="1" t="shared" si="26"/>
        <v>#DIV/0!</v>
      </c>
      <c r="DC15" t="e">
        <f ca="1" t="shared" si="113"/>
        <v>#DIV/0!</v>
      </c>
      <c r="DD15" t="e">
        <f ca="1">IF(DA15-VLOOKUP($DA$2,Input_Output!$G$2:$L$6,6,FALSE)&lt;0,0,DA15-VLOOKUP($DA$2,Input_Output!$G$2:$L$6,6,FALSE))*dt</f>
        <v>#DIV/0!</v>
      </c>
      <c r="DE15" t="e">
        <f ca="1" t="shared" si="97"/>
        <v>#DIV/0!</v>
      </c>
      <c r="DF15" t="b">
        <f t="shared" si="64"/>
        <v>0</v>
      </c>
      <c r="DG15">
        <f ca="1" t="shared" si="98"/>
        <v>0</v>
      </c>
      <c r="DH15" t="b">
        <f t="shared" si="65"/>
        <v>0</v>
      </c>
      <c r="DI15">
        <f ca="1" t="shared" si="99"/>
        <v>0</v>
      </c>
      <c r="DJ15" t="b">
        <f t="shared" si="66"/>
        <v>0</v>
      </c>
      <c r="DK15" s="11">
        <f ca="1" t="shared" si="100"/>
        <v>0</v>
      </c>
    </row>
    <row r="16" spans="1:115">
      <c r="A16">
        <v>14</v>
      </c>
      <c r="B16">
        <f t="shared" si="27"/>
        <v>0.35</v>
      </c>
      <c r="C16" t="e">
        <f ca="1">IF(O15&gt;P15,VLOOKUP(Calcs!C15,Input_Output!$AN$11:$AS$30,6,FALSE),C15)</f>
        <v>#DIV/0!</v>
      </c>
      <c r="D16" t="e">
        <f ca="1" t="shared" si="103"/>
        <v>#DIV/0!</v>
      </c>
      <c r="E16" t="e">
        <f ca="1">VLOOKUP(D16,Input_Output!$B$2:$E$5,2,FALSE)</f>
        <v>#DIV/0!</v>
      </c>
      <c r="F16" t="e">
        <f ca="1">VLOOKUP(D16,Input_Output!$B$2:$E$5,3,FALSE)</f>
        <v>#DIV/0!</v>
      </c>
      <c r="G16" t="e">
        <f ca="1">VLOOKUP(D16,Input_Output!$B$2:$E$5,4,FALSE)</f>
        <v>#DIV/0!</v>
      </c>
      <c r="H16" s="9">
        <f ca="1">IFERROR(IF(NOT(C16=C15),VLOOKUP(C15,Input_Output!$AN$11:$AV$30,9,FALSE)+O15+O16+(N16*dt),H15+(N16*dt)),tot_dist_end+10)</f>
        <v>4030.15025566113</v>
      </c>
      <c r="I16" s="6" t="e">
        <f ca="1" t="array" ref="I16">IF(OR(Q16=1,Q16=2),Starter_power_increment,Power_increment)+IF(OR(Q16=1,Q16=2),IF(Lap1profile="Male",laponepm(B16),laponepf(B16)),VLOOKUP(_xlfn.SINGLE(Rider_P1),Input_Output!$G$2:$P$6,(7+J16),FALSE))*Efficiency</f>
        <v>#NAME?</v>
      </c>
      <c r="J16" s="21" t="e">
        <f ca="1" t="shared" si="28"/>
        <v>#DIV/0!</v>
      </c>
      <c r="K16" t="e">
        <f ca="1" t="shared" si="104"/>
        <v>#DIV/0!</v>
      </c>
      <c r="L16" t="e">
        <f ca="1" t="shared" si="0"/>
        <v>#DIV/0!</v>
      </c>
      <c r="M16" t="e">
        <f ca="1" t="shared" si="105"/>
        <v>#DIV/0!</v>
      </c>
      <c r="N16" t="e">
        <f ca="1" t="shared" si="32"/>
        <v>#DIV/0!</v>
      </c>
      <c r="O16" s="22" t="e">
        <f ca="1" t="shared" si="33"/>
        <v>#DIV/0!</v>
      </c>
      <c r="P16" s="8" t="e">
        <f ca="1">VLOOKUP(C16,Input_Output!$AN$11:$AT$30,7,FALSE)</f>
        <v>#DIV/0!</v>
      </c>
      <c r="Q16" s="27">
        <f ca="1" t="shared" si="106"/>
        <v>5</v>
      </c>
      <c r="R16" s="6">
        <f ca="1">VLOOKUP(Q16,Input_Output!$AH$11:$AI$43,2,FALSE)</f>
        <v>628.148477447052</v>
      </c>
      <c r="S16" s="27">
        <f ca="1" t="shared" si="107"/>
        <v>5</v>
      </c>
      <c r="T16" s="12" t="e">
        <f ca="1" t="shared" si="1"/>
        <v>#DIV/0!</v>
      </c>
      <c r="U16" s="12">
        <f ca="1" t="shared" si="2"/>
        <v>3527.63147370349</v>
      </c>
      <c r="V16" s="28">
        <f ca="1" t="shared" si="34"/>
        <v>28.079599014875</v>
      </c>
      <c r="W16" s="8">
        <f ca="1">VLOOKUP(V16,Track_geometry_lookup!$A$3:$E$1003,2,TRUE)</f>
        <v>10000</v>
      </c>
      <c r="X16" s="12">
        <f ca="1">VLOOKUP(V16,Track_geometry_lookup!$A$3:$E$1003,3,TRUE)</f>
        <v>0.229283903834712</v>
      </c>
      <c r="Y16" s="12" t="e">
        <f ca="1">IF(Vel_whls&lt;6,0,(RADIANS(90)-(VLOOKUP(W16,Lean_angle_lookup!$A$3:$AP$244,VLOOKUP(Vel_whls,Lean_angle_lookup!$AU$3:$AV$48,2,TRUE),TRUE))))</f>
        <v>#DIV/0!</v>
      </c>
      <c r="Z16" s="6" t="e">
        <f ca="1">VLOOKUP(Rider_P1,Input_Output!$G$2:$K$6,5,FALSE)</f>
        <v>#DIV/0!</v>
      </c>
      <c r="AA16" s="8" t="e">
        <f ca="1">Static_mass_delta+VLOOKUP(Rider_P1,Input_Output!$G$2:$I$6,3,FALSE)</f>
        <v>#DIV/0!</v>
      </c>
      <c r="AB16" s="12" t="e">
        <f ca="1">P1_CDA_factor*(CDA_delta+IF(t&lt;Time_standing,VLOOKUP(Rider_P1,Input_Output!$G$2:$S$6,13,FALSE),VLOOKUP(Rider_P1,Input_Output!$G$2:$J$6,4,FALSE)))</f>
        <v>#DIV/0!</v>
      </c>
      <c r="AC16" s="12" t="e">
        <f ca="1" t="shared" si="3"/>
        <v>#DIV/0!</v>
      </c>
      <c r="AD16" s="12" t="e">
        <f ca="1" t="shared" si="4"/>
        <v>#DIV/0!</v>
      </c>
      <c r="AE16" s="12" t="e">
        <f ca="1" t="shared" si="4"/>
        <v>#DIV/0!</v>
      </c>
      <c r="AF16" s="6" t="e">
        <f ca="1" t="shared" si="73"/>
        <v>#DIV/0!</v>
      </c>
      <c r="AG16" s="8" t="e">
        <f ca="1" t="shared" si="74"/>
        <v>#DIV/0!</v>
      </c>
      <c r="AH16" s="6" t="e">
        <f ca="1" t="shared" si="5"/>
        <v>#DIV/0!</v>
      </c>
      <c r="AI16" s="9" t="e">
        <f ca="1" t="shared" si="37"/>
        <v>#DIV/0!</v>
      </c>
      <c r="AJ16" t="e">
        <f ca="1" t="shared" si="6"/>
        <v>#DIV/0!</v>
      </c>
      <c r="AK16" s="6" t="e">
        <f ca="1" t="shared" si="7"/>
        <v>#DIV/0!</v>
      </c>
      <c r="AL16" s="6" t="e">
        <f ca="1" t="shared" si="8"/>
        <v>#DIV/0!</v>
      </c>
      <c r="AM16" s="6" t="e">
        <f ca="1" t="shared" si="9"/>
        <v>#DIV/0!</v>
      </c>
      <c r="AN16" s="6" t="e">
        <f ca="1" t="shared" si="10"/>
        <v>#DIV/0!</v>
      </c>
      <c r="AO16" s="6" t="e">
        <f ca="1" t="shared" si="38"/>
        <v>#DIV/0!</v>
      </c>
      <c r="AP16" s="6" t="e">
        <f ca="1" t="shared" si="11"/>
        <v>#DIV/0!</v>
      </c>
      <c r="AQ16" s="8">
        <f ca="1" t="shared" si="39"/>
        <v>76.8629999999876</v>
      </c>
      <c r="AR16" s="6" t="e">
        <f ca="1" t="shared" si="40"/>
        <v>#DIV/0!</v>
      </c>
      <c r="AS16" s="6">
        <f ca="1">VLOOKUP(Q16,Input_Output!$A$57:$B$88,2,FALSE)</f>
        <v>0.3</v>
      </c>
      <c r="AT16" s="6" t="e">
        <f ca="1" t="shared" si="12"/>
        <v>#DIV/0!</v>
      </c>
      <c r="AU16" t="e">
        <f ca="1" t="shared" si="41"/>
        <v>#DIV/0!</v>
      </c>
      <c r="AV16" t="e">
        <f ca="1" t="shared" si="13"/>
        <v>#NAME?</v>
      </c>
      <c r="AW16" t="e">
        <f ca="1" t="shared" si="78"/>
        <v>#NAME?</v>
      </c>
      <c r="AX16" t="e">
        <f ca="1" t="shared" si="79"/>
        <v>#NAME?</v>
      </c>
      <c r="AY16" t="e">
        <f ca="1" t="shared" si="14"/>
        <v>#NAME?</v>
      </c>
      <c r="AZ16" t="e">
        <f ca="1" t="shared" si="108"/>
        <v>#DIV/0!</v>
      </c>
      <c r="BA16" t="e">
        <f ca="1" t="shared" si="109"/>
        <v>#DIV/0!</v>
      </c>
      <c r="BB16">
        <f ca="1" t="shared" si="42"/>
        <v>1000</v>
      </c>
      <c r="BC16" t="e">
        <f ca="1" t="shared" si="15"/>
        <v>#DIV/0!</v>
      </c>
      <c r="BE16" t="e">
        <f ca="1">P2_CDA_factor*(CDA_delta+IF(t&lt;Time_standing,VLOOKUP(Rider_P2,Input_Output!$G$2:$S$6,13,FALSE),VLOOKUP(Rider_P2,Input_Output!$G$2:$J$6,4,FALSE)))*0.5*rho*Vel_CoM*(Vel_CoM-Rel_airspeed)^2</f>
        <v>#DIV/0!</v>
      </c>
      <c r="BF16" t="e">
        <f ca="1">Power_RR*VLOOKUP(Rider_P2,Input_Output!$G$2:$I$6,3,FALSE)/Mass</f>
        <v>#DIV/0!</v>
      </c>
      <c r="BG16" t="e">
        <f ca="1">VLOOKUP(Rider_P2,Input_Output!$G$2:$I$6,3,FALSE)*accel*Vel_CoM</f>
        <v>#DIV/0!</v>
      </c>
      <c r="BH16" t="e">
        <f ca="1" t="shared" si="16"/>
        <v>#DIV/0!</v>
      </c>
      <c r="BI16" t="e">
        <f ca="1" t="shared" si="43"/>
        <v>#DIV/0!</v>
      </c>
      <c r="BJ16" t="e">
        <f ca="1">P3_CDA_factor*(CDA_delta+IF(t&lt;Time_standing,VLOOKUP(Rider_P3,Input_Output!$G$2:$S$6,13,FALSE),VLOOKUP(Rider_P3,Input_Output!$G$2:$J$6,4,FALSE)))*0.5*rho*Vel_CoM*(Vel_CoM-Rel_airspeed)^2</f>
        <v>#DIV/0!</v>
      </c>
      <c r="BK16" t="e">
        <f ca="1">Power_RR*VLOOKUP(Rider_P3,Input_Output!$G$2:$I$6,3,FALSE)/Mass</f>
        <v>#DIV/0!</v>
      </c>
      <c r="BL16" t="e">
        <f ca="1">VLOOKUP(Rider_P3,Input_Output!$G$2:$I$6,3,FALSE)*accel*Vel_CoM</f>
        <v>#DIV/0!</v>
      </c>
      <c r="BM16" t="e">
        <f ca="1" t="shared" si="17"/>
        <v>#DIV/0!</v>
      </c>
      <c r="BN16" t="e">
        <f ca="1" t="shared" si="44"/>
        <v>#DIV/0!</v>
      </c>
      <c r="BO16" t="e">
        <f ca="1">P4_CDA_factor*(CDA_delta+IF(t&lt;Time_standing,VLOOKUP(Rider_P4,Input_Output!$G$2:$S$6,13,FALSE),VLOOKUP(Rider_P4,Input_Output!$G$2:$J$6,4,FALSE)))*0.5*rho*Vel_CoM*(Vel_CoM-Rel_airspeed)^2</f>
        <v>#DIV/0!</v>
      </c>
      <c r="BP16" t="e">
        <f ca="1">Power_RR*VLOOKUP(Rider_P4,Input_Output!$G$2:$I$6,3,FALSE)/Mass</f>
        <v>#DIV/0!</v>
      </c>
      <c r="BQ16" t="e">
        <f ca="1">VLOOKUP(Rider_P4,Input_Output!$G$2:$I$6,3,FALSE)*accel*Vel_CoM</f>
        <v>#DIV/0!</v>
      </c>
      <c r="BR16" t="e">
        <f ca="1" t="shared" si="18"/>
        <v>#DIV/0!</v>
      </c>
      <c r="BS16" t="e">
        <f ca="1" t="shared" si="45"/>
        <v>#DIV/0!</v>
      </c>
      <c r="BT16" s="10" t="e">
        <f ca="1" t="shared" si="19"/>
        <v>#DIV/0!</v>
      </c>
      <c r="BU16" t="e">
        <f ca="1" t="shared" si="20"/>
        <v>#DIV/0!</v>
      </c>
      <c r="BV16" t="e">
        <f ca="1" t="shared" si="110"/>
        <v>#DIV/0!</v>
      </c>
      <c r="BW16" t="e">
        <f ca="1">IF(BT16-VLOOKUP($BT$2,Input_Output!$G$2:$L$6,6,FALSE)&lt;0,0,BT16-VLOOKUP($BT$2,Input_Output!$G$2:$L$6,6,FALSE))*dt</f>
        <v>#DIV/0!</v>
      </c>
      <c r="BX16" t="e">
        <f ca="1" t="shared" si="91"/>
        <v>#DIV/0!</v>
      </c>
      <c r="BY16" t="b">
        <f t="shared" si="46"/>
        <v>0</v>
      </c>
      <c r="BZ16">
        <f ca="1" t="shared" si="47"/>
        <v>0</v>
      </c>
      <c r="CA16" t="b">
        <f t="shared" si="48"/>
        <v>0</v>
      </c>
      <c r="CB16">
        <f ca="1" t="shared" si="49"/>
        <v>0</v>
      </c>
      <c r="CC16" t="b">
        <f t="shared" si="50"/>
        <v>0</v>
      </c>
      <c r="CD16" s="11">
        <f ca="1" t="shared" si="51"/>
        <v>0</v>
      </c>
      <c r="CE16" t="e">
        <f ca="1" t="shared" si="21"/>
        <v>#DIV/0!</v>
      </c>
      <c r="CF16" t="e">
        <f ca="1" t="shared" si="22"/>
        <v>#DIV/0!</v>
      </c>
      <c r="CG16" t="e">
        <f ca="1" t="shared" si="111"/>
        <v>#DIV/0!</v>
      </c>
      <c r="CH16" t="e">
        <f ca="1">IF(CE16-VLOOKUP($CE$2,Input_Output!$G$2:$L$6,6,FALSE)&lt;0,0,CE16-VLOOKUP($CE$2,Input_Output!$G$2:$L$6,6,FALSE))*dt</f>
        <v>#DIV/0!</v>
      </c>
      <c r="CI16" t="e">
        <f ca="1" t="shared" si="93"/>
        <v>#DIV/0!</v>
      </c>
      <c r="CJ16" t="b">
        <f t="shared" si="52"/>
        <v>0</v>
      </c>
      <c r="CK16">
        <f ca="1" t="shared" si="53"/>
        <v>0</v>
      </c>
      <c r="CL16" t="b">
        <f t="shared" si="54"/>
        <v>0</v>
      </c>
      <c r="CM16">
        <f ca="1" t="shared" si="55"/>
        <v>0</v>
      </c>
      <c r="CN16" t="b">
        <f t="shared" si="56"/>
        <v>0</v>
      </c>
      <c r="CO16" s="11">
        <f ca="1" t="shared" si="57"/>
        <v>0</v>
      </c>
      <c r="CP16" t="e">
        <f ca="1" t="shared" si="23"/>
        <v>#DIV/0!</v>
      </c>
      <c r="CQ16" t="e">
        <f ca="1" t="shared" si="24"/>
        <v>#DIV/0!</v>
      </c>
      <c r="CR16" t="e">
        <f ca="1" t="shared" si="112"/>
        <v>#DIV/0!</v>
      </c>
      <c r="CS16" t="e">
        <f ca="1">IF(CP16-VLOOKUP($CP$2,Input_Output!$G$2:$L$6,6,FALSE)&lt;0,0,CP16-VLOOKUP($CP$2,Input_Output!$G$2:$L$6,6,FALSE))*dt</f>
        <v>#DIV/0!</v>
      </c>
      <c r="CT16" t="e">
        <f ca="1" t="shared" si="95"/>
        <v>#DIV/0!</v>
      </c>
      <c r="CU16" t="b">
        <f t="shared" si="58"/>
        <v>0</v>
      </c>
      <c r="CV16">
        <f ca="1" t="shared" si="59"/>
        <v>0</v>
      </c>
      <c r="CW16" t="b">
        <f t="shared" si="60"/>
        <v>0</v>
      </c>
      <c r="CX16">
        <f ca="1" t="shared" si="61"/>
        <v>0</v>
      </c>
      <c r="CY16" t="b">
        <f t="shared" si="62"/>
        <v>0</v>
      </c>
      <c r="CZ16" s="11">
        <f ca="1" t="shared" si="63"/>
        <v>0</v>
      </c>
      <c r="DA16" t="e">
        <f ca="1" t="shared" si="25"/>
        <v>#DIV/0!</v>
      </c>
      <c r="DB16" t="e">
        <f ca="1" t="shared" si="26"/>
        <v>#DIV/0!</v>
      </c>
      <c r="DC16" t="e">
        <f ca="1" t="shared" si="113"/>
        <v>#DIV/0!</v>
      </c>
      <c r="DD16" t="e">
        <f ca="1">IF(DA16-VLOOKUP($DA$2,Input_Output!$G$2:$L$6,6,FALSE)&lt;0,0,DA16-VLOOKUP($DA$2,Input_Output!$G$2:$L$6,6,FALSE))*dt</f>
        <v>#DIV/0!</v>
      </c>
      <c r="DE16" t="e">
        <f ca="1" t="shared" si="97"/>
        <v>#DIV/0!</v>
      </c>
      <c r="DF16" t="b">
        <f t="shared" si="64"/>
        <v>0</v>
      </c>
      <c r="DG16">
        <f ca="1" t="shared" si="98"/>
        <v>0</v>
      </c>
      <c r="DH16" t="b">
        <f t="shared" si="65"/>
        <v>0</v>
      </c>
      <c r="DI16">
        <f ca="1" t="shared" si="99"/>
        <v>0</v>
      </c>
      <c r="DJ16" t="b">
        <f t="shared" si="66"/>
        <v>0</v>
      </c>
      <c r="DK16" s="11">
        <f ca="1" t="shared" si="100"/>
        <v>0</v>
      </c>
    </row>
    <row r="17" spans="1:115">
      <c r="A17">
        <v>15</v>
      </c>
      <c r="B17">
        <f t="shared" si="27"/>
        <v>0.375</v>
      </c>
      <c r="C17" t="e">
        <f ca="1">IF(O16&gt;P16,VLOOKUP(Calcs!C16,Input_Output!$AN$11:$AS$30,6,FALSE),C16)</f>
        <v>#DIV/0!</v>
      </c>
      <c r="D17" t="e">
        <f ca="1" t="shared" si="103"/>
        <v>#DIV/0!</v>
      </c>
      <c r="E17" t="e">
        <f ca="1">VLOOKUP(D17,Input_Output!$B$2:$E$5,2,FALSE)</f>
        <v>#DIV/0!</v>
      </c>
      <c r="F17" t="e">
        <f ca="1">VLOOKUP(D17,Input_Output!$B$2:$E$5,3,FALSE)</f>
        <v>#DIV/0!</v>
      </c>
      <c r="G17" t="e">
        <f ca="1">VLOOKUP(D17,Input_Output!$B$2:$E$5,4,FALSE)</f>
        <v>#DIV/0!</v>
      </c>
      <c r="H17" s="9">
        <f ca="1">IFERROR(IF(NOT(C17=C16),VLOOKUP(C16,Input_Output!$AN$11:$AV$30,9,FALSE)+O16+O17+(N17*dt),H16+(N17*dt)),tot_dist_end+10)</f>
        <v>4030.15025566113</v>
      </c>
      <c r="I17" s="6" t="e">
        <f ca="1" t="array" ref="I17">IF(OR(Q17=1,Q17=2),Starter_power_increment,Power_increment)+IF(OR(Q17=1,Q17=2),IF(Lap1profile="Male",laponepm(B17),laponepf(B17)),VLOOKUP(_xlfn.SINGLE(Rider_P1),Input_Output!$G$2:$P$6,(7+J17),FALSE))*Efficiency</f>
        <v>#NAME?</v>
      </c>
      <c r="J17" s="21" t="e">
        <f ca="1" t="shared" si="28"/>
        <v>#DIV/0!</v>
      </c>
      <c r="K17" t="e">
        <f ca="1" t="shared" si="104"/>
        <v>#DIV/0!</v>
      </c>
      <c r="L17" t="e">
        <f ca="1" t="shared" si="0"/>
        <v>#DIV/0!</v>
      </c>
      <c r="M17" t="e">
        <f ca="1" t="shared" si="105"/>
        <v>#DIV/0!</v>
      </c>
      <c r="N17" t="e">
        <f ca="1" t="shared" si="32"/>
        <v>#DIV/0!</v>
      </c>
      <c r="O17" s="22" t="e">
        <f ca="1" t="shared" si="33"/>
        <v>#DIV/0!</v>
      </c>
      <c r="P17" s="8" t="e">
        <f ca="1">VLOOKUP(C17,Input_Output!$AN$11:$AT$30,7,FALSE)</f>
        <v>#DIV/0!</v>
      </c>
      <c r="Q17" s="27">
        <f ca="1" t="shared" si="106"/>
        <v>6</v>
      </c>
      <c r="R17" s="6">
        <f ca="1">VLOOKUP(Q17,Input_Output!$AH$11:$AI$43,2,FALSE)</f>
        <v>753.778172936463</v>
      </c>
      <c r="S17" s="27">
        <f ca="1" t="shared" si="107"/>
        <v>6</v>
      </c>
      <c r="T17" s="12" t="e">
        <f ca="1" t="shared" si="1"/>
        <v>#DIV/0!</v>
      </c>
      <c r="U17" s="12">
        <f ca="1" t="shared" si="2"/>
        <v>3402.00177821408</v>
      </c>
      <c r="V17" s="28">
        <f ca="1" t="shared" si="34"/>
        <v>27.079599014875</v>
      </c>
      <c r="W17" s="8">
        <f ca="1">VLOOKUP(V17,Track_geometry_lookup!$A$3:$E$1003,2,TRUE)</f>
        <v>10000</v>
      </c>
      <c r="X17" s="12">
        <f ca="1">VLOOKUP(V17,Track_geometry_lookup!$A$3:$E$1003,3,TRUE)</f>
        <v>0.229283903834712</v>
      </c>
      <c r="Y17" s="12" t="e">
        <f ca="1">IF(Vel_whls&lt;6,0,(RADIANS(90)-(VLOOKUP(W17,Lean_angle_lookup!$A$3:$AP$244,VLOOKUP(Vel_whls,Lean_angle_lookup!$AU$3:$AV$48,2,TRUE),TRUE))))</f>
        <v>#DIV/0!</v>
      </c>
      <c r="Z17" s="6" t="e">
        <f ca="1">VLOOKUP(Rider_P1,Input_Output!$G$2:$K$6,5,FALSE)</f>
        <v>#DIV/0!</v>
      </c>
      <c r="AA17" s="8" t="e">
        <f ca="1">Static_mass_delta+VLOOKUP(Rider_P1,Input_Output!$G$2:$I$6,3,FALSE)</f>
        <v>#DIV/0!</v>
      </c>
      <c r="AB17" s="12" t="e">
        <f ca="1">P1_CDA_factor*(CDA_delta+IF(t&lt;Time_standing,VLOOKUP(Rider_P1,Input_Output!$G$2:$S$6,13,FALSE),VLOOKUP(Rider_P1,Input_Output!$G$2:$J$6,4,FALSE)))</f>
        <v>#DIV/0!</v>
      </c>
      <c r="AC17" s="12" t="e">
        <f ca="1" t="shared" si="3"/>
        <v>#DIV/0!</v>
      </c>
      <c r="AD17" s="12" t="e">
        <f ca="1" t="shared" si="4"/>
        <v>#DIV/0!</v>
      </c>
      <c r="AE17" s="12" t="e">
        <f ca="1" t="shared" si="4"/>
        <v>#DIV/0!</v>
      </c>
      <c r="AF17" s="6" t="e">
        <f ca="1" t="shared" si="73"/>
        <v>#DIV/0!</v>
      </c>
      <c r="AG17" s="8" t="e">
        <f ca="1" t="shared" si="74"/>
        <v>#DIV/0!</v>
      </c>
      <c r="AH17" s="6" t="e">
        <f ca="1" t="shared" si="5"/>
        <v>#DIV/0!</v>
      </c>
      <c r="AI17" s="9" t="e">
        <f ca="1" t="shared" si="37"/>
        <v>#DIV/0!</v>
      </c>
      <c r="AJ17" t="e">
        <f ca="1" t="shared" si="6"/>
        <v>#DIV/0!</v>
      </c>
      <c r="AK17" s="6" t="e">
        <f ca="1" t="shared" si="7"/>
        <v>#DIV/0!</v>
      </c>
      <c r="AL17" s="6" t="e">
        <f ca="1" t="shared" si="8"/>
        <v>#DIV/0!</v>
      </c>
      <c r="AM17" s="6" t="e">
        <f ca="1" t="shared" si="9"/>
        <v>#DIV/0!</v>
      </c>
      <c r="AN17" s="6" t="e">
        <f ca="1" t="shared" si="10"/>
        <v>#DIV/0!</v>
      </c>
      <c r="AO17" s="6" t="e">
        <f ca="1" t="shared" si="38"/>
        <v>#DIV/0!</v>
      </c>
      <c r="AP17" s="6" t="e">
        <f ca="1" t="shared" si="11"/>
        <v>#DIV/0!</v>
      </c>
      <c r="AQ17" s="8">
        <f ca="1" t="shared" si="39"/>
        <v>76.8629999999876</v>
      </c>
      <c r="AR17" s="6" t="e">
        <f ca="1" t="shared" si="40"/>
        <v>#DIV/0!</v>
      </c>
      <c r="AS17" s="6">
        <f ca="1">VLOOKUP(Q17,Input_Output!$A$57:$B$88,2,FALSE)</f>
        <v>0.3</v>
      </c>
      <c r="AT17" s="6" t="e">
        <f ca="1" t="shared" si="12"/>
        <v>#DIV/0!</v>
      </c>
      <c r="AU17" t="e">
        <f ca="1" t="shared" si="41"/>
        <v>#DIV/0!</v>
      </c>
      <c r="AV17" t="e">
        <f ca="1" t="shared" si="13"/>
        <v>#NAME?</v>
      </c>
      <c r="AW17" t="e">
        <f ca="1" t="shared" si="78"/>
        <v>#NAME?</v>
      </c>
      <c r="AX17" t="e">
        <f ca="1" t="shared" si="79"/>
        <v>#NAME?</v>
      </c>
      <c r="AY17" t="e">
        <f ca="1" t="shared" si="14"/>
        <v>#NAME?</v>
      </c>
      <c r="AZ17" t="e">
        <f ca="1" t="shared" si="108"/>
        <v>#DIV/0!</v>
      </c>
      <c r="BA17" t="e">
        <f ca="1" t="shared" si="109"/>
        <v>#DIV/0!</v>
      </c>
      <c r="BB17">
        <f ca="1" t="shared" si="42"/>
        <v>1000</v>
      </c>
      <c r="BC17" t="e">
        <f ca="1" t="shared" si="15"/>
        <v>#DIV/0!</v>
      </c>
      <c r="BE17" t="e">
        <f ca="1">P2_CDA_factor*(CDA_delta+IF(t&lt;Time_standing,VLOOKUP(Rider_P2,Input_Output!$G$2:$S$6,13,FALSE),VLOOKUP(Rider_P2,Input_Output!$G$2:$J$6,4,FALSE)))*0.5*rho*Vel_CoM*(Vel_CoM-Rel_airspeed)^2</f>
        <v>#DIV/0!</v>
      </c>
      <c r="BF17" t="e">
        <f ca="1">Power_RR*VLOOKUP(Rider_P2,Input_Output!$G$2:$I$6,3,FALSE)/Mass</f>
        <v>#DIV/0!</v>
      </c>
      <c r="BG17" t="e">
        <f ca="1">VLOOKUP(Rider_P2,Input_Output!$G$2:$I$6,3,FALSE)*accel*Vel_CoM</f>
        <v>#DIV/0!</v>
      </c>
      <c r="BH17" t="e">
        <f ca="1" t="shared" si="16"/>
        <v>#DIV/0!</v>
      </c>
      <c r="BI17" t="e">
        <f ca="1" t="shared" si="43"/>
        <v>#DIV/0!</v>
      </c>
      <c r="BJ17" t="e">
        <f ca="1">P3_CDA_factor*(CDA_delta+IF(t&lt;Time_standing,VLOOKUP(Rider_P3,Input_Output!$G$2:$S$6,13,FALSE),VLOOKUP(Rider_P3,Input_Output!$G$2:$J$6,4,FALSE)))*0.5*rho*Vel_CoM*(Vel_CoM-Rel_airspeed)^2</f>
        <v>#DIV/0!</v>
      </c>
      <c r="BK17" t="e">
        <f ca="1">Power_RR*VLOOKUP(Rider_P3,Input_Output!$G$2:$I$6,3,FALSE)/Mass</f>
        <v>#DIV/0!</v>
      </c>
      <c r="BL17" t="e">
        <f ca="1">VLOOKUP(Rider_P3,Input_Output!$G$2:$I$6,3,FALSE)*accel*Vel_CoM</f>
        <v>#DIV/0!</v>
      </c>
      <c r="BM17" t="e">
        <f ca="1" t="shared" si="17"/>
        <v>#DIV/0!</v>
      </c>
      <c r="BN17" t="e">
        <f ca="1" t="shared" si="44"/>
        <v>#DIV/0!</v>
      </c>
      <c r="BO17" t="e">
        <f ca="1">P4_CDA_factor*(CDA_delta+IF(t&lt;Time_standing,VLOOKUP(Rider_P4,Input_Output!$G$2:$S$6,13,FALSE),VLOOKUP(Rider_P4,Input_Output!$G$2:$J$6,4,FALSE)))*0.5*rho*Vel_CoM*(Vel_CoM-Rel_airspeed)^2</f>
        <v>#DIV/0!</v>
      </c>
      <c r="BP17" t="e">
        <f ca="1">Power_RR*VLOOKUP(Rider_P4,Input_Output!$G$2:$I$6,3,FALSE)/Mass</f>
        <v>#DIV/0!</v>
      </c>
      <c r="BQ17" t="e">
        <f ca="1">VLOOKUP(Rider_P4,Input_Output!$G$2:$I$6,3,FALSE)*accel*Vel_CoM</f>
        <v>#DIV/0!</v>
      </c>
      <c r="BR17" t="e">
        <f ca="1" t="shared" si="18"/>
        <v>#DIV/0!</v>
      </c>
      <c r="BS17" t="e">
        <f ca="1" t="shared" si="45"/>
        <v>#DIV/0!</v>
      </c>
      <c r="BT17" s="10" t="e">
        <f ca="1" t="shared" si="19"/>
        <v>#DIV/0!</v>
      </c>
      <c r="BU17" t="e">
        <f ca="1" t="shared" si="20"/>
        <v>#DIV/0!</v>
      </c>
      <c r="BV17" t="e">
        <f ca="1" t="shared" si="110"/>
        <v>#DIV/0!</v>
      </c>
      <c r="BW17" t="e">
        <f ca="1">IF(BT17-VLOOKUP($BT$2,Input_Output!$G$2:$L$6,6,FALSE)&lt;0,0,BT17-VLOOKUP($BT$2,Input_Output!$G$2:$L$6,6,FALSE))*dt</f>
        <v>#DIV/0!</v>
      </c>
      <c r="BX17" t="e">
        <f ca="1" t="shared" si="91"/>
        <v>#DIV/0!</v>
      </c>
      <c r="BY17" t="b">
        <f t="shared" si="46"/>
        <v>0</v>
      </c>
      <c r="BZ17">
        <f ca="1" t="shared" si="47"/>
        <v>0</v>
      </c>
      <c r="CA17" t="b">
        <f t="shared" si="48"/>
        <v>0</v>
      </c>
      <c r="CB17">
        <f ca="1" t="shared" si="49"/>
        <v>0</v>
      </c>
      <c r="CC17" t="b">
        <f t="shared" si="50"/>
        <v>0</v>
      </c>
      <c r="CD17" s="11">
        <f ca="1" t="shared" si="51"/>
        <v>0</v>
      </c>
      <c r="CE17" t="e">
        <f ca="1" t="shared" si="21"/>
        <v>#DIV/0!</v>
      </c>
      <c r="CF17" t="e">
        <f ca="1" t="shared" si="22"/>
        <v>#DIV/0!</v>
      </c>
      <c r="CG17" t="e">
        <f ca="1" t="shared" si="111"/>
        <v>#DIV/0!</v>
      </c>
      <c r="CH17" t="e">
        <f ca="1">IF(CE17-VLOOKUP($CE$2,Input_Output!$G$2:$L$6,6,FALSE)&lt;0,0,CE17-VLOOKUP($CE$2,Input_Output!$G$2:$L$6,6,FALSE))*dt</f>
        <v>#DIV/0!</v>
      </c>
      <c r="CI17" t="e">
        <f ca="1" t="shared" si="93"/>
        <v>#DIV/0!</v>
      </c>
      <c r="CJ17" t="b">
        <f t="shared" si="52"/>
        <v>0</v>
      </c>
      <c r="CK17">
        <f ca="1" t="shared" si="53"/>
        <v>0</v>
      </c>
      <c r="CL17" t="b">
        <f t="shared" si="54"/>
        <v>0</v>
      </c>
      <c r="CM17">
        <f ca="1" t="shared" si="55"/>
        <v>0</v>
      </c>
      <c r="CN17" t="b">
        <f t="shared" si="56"/>
        <v>0</v>
      </c>
      <c r="CO17" s="11">
        <f ca="1" t="shared" si="57"/>
        <v>0</v>
      </c>
      <c r="CP17" t="e">
        <f ca="1" t="shared" si="23"/>
        <v>#DIV/0!</v>
      </c>
      <c r="CQ17" t="e">
        <f ca="1" t="shared" si="24"/>
        <v>#DIV/0!</v>
      </c>
      <c r="CR17" t="e">
        <f ca="1" t="shared" si="112"/>
        <v>#DIV/0!</v>
      </c>
      <c r="CS17" t="e">
        <f ca="1">IF(CP17-VLOOKUP($CP$2,Input_Output!$G$2:$L$6,6,FALSE)&lt;0,0,CP17-VLOOKUP($CP$2,Input_Output!$G$2:$L$6,6,FALSE))*dt</f>
        <v>#DIV/0!</v>
      </c>
      <c r="CT17" t="e">
        <f ca="1" t="shared" si="95"/>
        <v>#DIV/0!</v>
      </c>
      <c r="CU17" t="b">
        <f t="shared" si="58"/>
        <v>0</v>
      </c>
      <c r="CV17">
        <f ca="1" t="shared" si="59"/>
        <v>0</v>
      </c>
      <c r="CW17" t="b">
        <f t="shared" si="60"/>
        <v>0</v>
      </c>
      <c r="CX17">
        <f ca="1" t="shared" si="61"/>
        <v>0</v>
      </c>
      <c r="CY17" t="b">
        <f t="shared" si="62"/>
        <v>0</v>
      </c>
      <c r="CZ17" s="11">
        <f ca="1" t="shared" si="63"/>
        <v>0</v>
      </c>
      <c r="DA17" t="e">
        <f ca="1" t="shared" si="25"/>
        <v>#DIV/0!</v>
      </c>
      <c r="DB17" t="e">
        <f ca="1" t="shared" si="26"/>
        <v>#DIV/0!</v>
      </c>
      <c r="DC17" t="e">
        <f ca="1" t="shared" si="113"/>
        <v>#DIV/0!</v>
      </c>
      <c r="DD17" t="e">
        <f ca="1">IF(DA17-VLOOKUP($DA$2,Input_Output!$G$2:$L$6,6,FALSE)&lt;0,0,DA17-VLOOKUP($DA$2,Input_Output!$G$2:$L$6,6,FALSE))*dt</f>
        <v>#DIV/0!</v>
      </c>
      <c r="DE17" t="e">
        <f ca="1" t="shared" si="97"/>
        <v>#DIV/0!</v>
      </c>
      <c r="DF17" t="b">
        <f t="shared" si="64"/>
        <v>0</v>
      </c>
      <c r="DG17">
        <f ca="1" t="shared" si="98"/>
        <v>0</v>
      </c>
      <c r="DH17" t="b">
        <f t="shared" si="65"/>
        <v>0</v>
      </c>
      <c r="DI17">
        <f ca="1" t="shared" si="99"/>
        <v>0</v>
      </c>
      <c r="DJ17" t="b">
        <f t="shared" si="66"/>
        <v>0</v>
      </c>
      <c r="DK17" s="11">
        <f ca="1" t="shared" si="100"/>
        <v>0</v>
      </c>
    </row>
    <row r="18" spans="1:115">
      <c r="A18">
        <v>16</v>
      </c>
      <c r="B18">
        <f t="shared" si="27"/>
        <v>0.4</v>
      </c>
      <c r="C18" t="e">
        <f ca="1">IF(O17&gt;P17,VLOOKUP(Calcs!C17,Input_Output!$AN$11:$AS$30,6,FALSE),C17)</f>
        <v>#DIV/0!</v>
      </c>
      <c r="D18" t="e">
        <f ca="1" t="shared" si="103"/>
        <v>#DIV/0!</v>
      </c>
      <c r="E18" t="e">
        <f ca="1">VLOOKUP(D18,Input_Output!$B$2:$E$5,2,FALSE)</f>
        <v>#DIV/0!</v>
      </c>
      <c r="F18" t="e">
        <f ca="1">VLOOKUP(D18,Input_Output!$B$2:$E$5,3,FALSE)</f>
        <v>#DIV/0!</v>
      </c>
      <c r="G18" t="e">
        <f ca="1">VLOOKUP(D18,Input_Output!$B$2:$E$5,4,FALSE)</f>
        <v>#DIV/0!</v>
      </c>
      <c r="H18" s="9">
        <f ca="1">IFERROR(IF(NOT(C18=C17),VLOOKUP(C17,Input_Output!$AN$11:$AV$30,9,FALSE)+O17+O18+(N18*dt),H17+(N18*dt)),tot_dist_end+10)</f>
        <v>4030.15025566113</v>
      </c>
      <c r="I18" s="6" t="e">
        <f ca="1" t="array" ref="I18">IF(OR(Q18=1,Q18=2),Starter_power_increment,Power_increment)+IF(OR(Q18=1,Q18=2),IF(Lap1profile="Male",laponepm(B18),laponepf(B18)),VLOOKUP(_xlfn.SINGLE(Rider_P1),Input_Output!$G$2:$P$6,(7+J18),FALSE))*Efficiency</f>
        <v>#NAME?</v>
      </c>
      <c r="J18" s="21" t="e">
        <f ca="1" t="shared" si="28"/>
        <v>#DIV/0!</v>
      </c>
      <c r="K18" t="e">
        <f ca="1" t="shared" si="104"/>
        <v>#DIV/0!</v>
      </c>
      <c r="L18" t="e">
        <f ca="1" t="shared" si="0"/>
        <v>#DIV/0!</v>
      </c>
      <c r="M18" t="e">
        <f ca="1" t="shared" si="105"/>
        <v>#DIV/0!</v>
      </c>
      <c r="N18" t="e">
        <f ca="1" t="shared" si="32"/>
        <v>#DIV/0!</v>
      </c>
      <c r="O18" s="22" t="e">
        <f ca="1" t="shared" si="33"/>
        <v>#DIV/0!</v>
      </c>
      <c r="P18" s="8" t="e">
        <f ca="1">VLOOKUP(C18,Input_Output!$AN$11:$AT$30,7,FALSE)</f>
        <v>#DIV/0!</v>
      </c>
      <c r="Q18" s="27">
        <f ca="1" t="shared" si="106"/>
        <v>7</v>
      </c>
      <c r="R18" s="6">
        <f ca="1">VLOOKUP(Q18,Input_Output!$AH$11:$AI$43,2,FALSE)</f>
        <v>879.407868425873</v>
      </c>
      <c r="S18" s="27">
        <f ca="1" t="shared" si="107"/>
        <v>7</v>
      </c>
      <c r="T18" s="12" t="e">
        <f ca="1" t="shared" si="1"/>
        <v>#DIV/0!</v>
      </c>
      <c r="U18" s="12">
        <f ca="1" t="shared" si="2"/>
        <v>3276.37208272467</v>
      </c>
      <c r="V18" s="28">
        <f ca="1" t="shared" si="34"/>
        <v>26.079599014875</v>
      </c>
      <c r="W18" s="8">
        <f ca="1">VLOOKUP(V18,Track_geometry_lookup!$A$3:$E$1003,2,TRUE)</f>
        <v>10000</v>
      </c>
      <c r="X18" s="12">
        <f ca="1">VLOOKUP(V18,Track_geometry_lookup!$A$3:$E$1003,3,TRUE)</f>
        <v>0.229283903834712</v>
      </c>
      <c r="Y18" s="12" t="e">
        <f ca="1">IF(Vel_whls&lt;6,0,(RADIANS(90)-(VLOOKUP(W18,Lean_angle_lookup!$A$3:$AP$244,VLOOKUP(Vel_whls,Lean_angle_lookup!$AU$3:$AV$48,2,TRUE),TRUE))))</f>
        <v>#DIV/0!</v>
      </c>
      <c r="Z18" s="6" t="e">
        <f ca="1">VLOOKUP(Rider_P1,Input_Output!$G$2:$K$6,5,FALSE)</f>
        <v>#DIV/0!</v>
      </c>
      <c r="AA18" s="8" t="e">
        <f ca="1">Static_mass_delta+VLOOKUP(Rider_P1,Input_Output!$G$2:$I$6,3,FALSE)</f>
        <v>#DIV/0!</v>
      </c>
      <c r="AB18" s="12" t="e">
        <f ca="1">P1_CDA_factor*(CDA_delta+IF(t&lt;Time_standing,VLOOKUP(Rider_P1,Input_Output!$G$2:$S$6,13,FALSE),VLOOKUP(Rider_P1,Input_Output!$G$2:$J$6,4,FALSE)))</f>
        <v>#DIV/0!</v>
      </c>
      <c r="AC18" s="12" t="e">
        <f ca="1" t="shared" si="3"/>
        <v>#DIV/0!</v>
      </c>
      <c r="AD18" s="12" t="e">
        <f ca="1" t="shared" si="4"/>
        <v>#DIV/0!</v>
      </c>
      <c r="AE18" s="12" t="e">
        <f ca="1" t="shared" si="4"/>
        <v>#DIV/0!</v>
      </c>
      <c r="AF18" s="6" t="e">
        <f ca="1" t="shared" ref="AF18:AF41" si="114">DEGREES(AE18)</f>
        <v>#DIV/0!</v>
      </c>
      <c r="AG18" s="8" t="e">
        <f ca="1" t="shared" ref="AG18:AG41" si="115">90-AF18</f>
        <v>#DIV/0!</v>
      </c>
      <c r="AH18" s="6" t="e">
        <f ca="1" t="shared" si="5"/>
        <v>#DIV/0!</v>
      </c>
      <c r="AI18" s="9" t="e">
        <f ca="1" t="shared" si="37"/>
        <v>#DIV/0!</v>
      </c>
      <c r="AJ18" t="e">
        <f ca="1" t="shared" si="6"/>
        <v>#DIV/0!</v>
      </c>
      <c r="AK18" s="6" t="e">
        <f ca="1" t="shared" si="7"/>
        <v>#DIV/0!</v>
      </c>
      <c r="AL18" s="6" t="e">
        <f ca="1" t="shared" si="8"/>
        <v>#DIV/0!</v>
      </c>
      <c r="AM18" s="6" t="e">
        <f ca="1" t="shared" si="9"/>
        <v>#DIV/0!</v>
      </c>
      <c r="AN18" s="6" t="e">
        <f ca="1" t="shared" si="10"/>
        <v>#DIV/0!</v>
      </c>
      <c r="AO18" s="6" t="e">
        <f ca="1" t="shared" si="38"/>
        <v>#DIV/0!</v>
      </c>
      <c r="AP18" s="6" t="e">
        <f ca="1" t="shared" si="11"/>
        <v>#DIV/0!</v>
      </c>
      <c r="AQ18" s="8">
        <f ca="1" t="shared" si="39"/>
        <v>76.8629999999876</v>
      </c>
      <c r="AR18" s="6" t="e">
        <f ca="1" t="shared" si="40"/>
        <v>#DIV/0!</v>
      </c>
      <c r="AS18" s="6">
        <f ca="1">VLOOKUP(Q18,Input_Output!$A$57:$B$88,2,FALSE)</f>
        <v>0.3</v>
      </c>
      <c r="AT18" s="6" t="e">
        <f ca="1" t="shared" si="12"/>
        <v>#DIV/0!</v>
      </c>
      <c r="AU18" t="e">
        <f ca="1" t="shared" si="41"/>
        <v>#DIV/0!</v>
      </c>
      <c r="AV18" t="e">
        <f ca="1" t="shared" si="13"/>
        <v>#NAME?</v>
      </c>
      <c r="AW18" t="e">
        <f ca="1" t="shared" si="78"/>
        <v>#NAME?</v>
      </c>
      <c r="AX18" t="e">
        <f ca="1" t="shared" si="79"/>
        <v>#NAME?</v>
      </c>
      <c r="AY18" t="e">
        <f ca="1" t="shared" si="14"/>
        <v>#NAME?</v>
      </c>
      <c r="AZ18" t="e">
        <f ca="1" t="shared" si="108"/>
        <v>#DIV/0!</v>
      </c>
      <c r="BA18" t="e">
        <f ca="1" t="shared" si="109"/>
        <v>#DIV/0!</v>
      </c>
      <c r="BB18">
        <f ca="1" t="shared" si="42"/>
        <v>1000</v>
      </c>
      <c r="BC18" t="e">
        <f ca="1" t="shared" si="15"/>
        <v>#DIV/0!</v>
      </c>
      <c r="BE18" t="e">
        <f ca="1">P2_CDA_factor*(CDA_delta+IF(t&lt;Time_standing,VLOOKUP(Rider_P2,Input_Output!$G$2:$S$6,13,FALSE),VLOOKUP(Rider_P2,Input_Output!$G$2:$J$6,4,FALSE)))*0.5*rho*Vel_CoM*(Vel_CoM-Rel_airspeed)^2</f>
        <v>#DIV/0!</v>
      </c>
      <c r="BF18" t="e">
        <f ca="1">Power_RR*VLOOKUP(Rider_P2,Input_Output!$G$2:$I$6,3,FALSE)/Mass</f>
        <v>#DIV/0!</v>
      </c>
      <c r="BG18" t="e">
        <f ca="1">VLOOKUP(Rider_P2,Input_Output!$G$2:$I$6,3,FALSE)*accel*Vel_CoM</f>
        <v>#DIV/0!</v>
      </c>
      <c r="BH18" t="e">
        <f ca="1" t="shared" si="16"/>
        <v>#DIV/0!</v>
      </c>
      <c r="BI18" t="e">
        <f ca="1" t="shared" si="43"/>
        <v>#DIV/0!</v>
      </c>
      <c r="BJ18" t="e">
        <f ca="1">P3_CDA_factor*(CDA_delta+IF(t&lt;Time_standing,VLOOKUP(Rider_P3,Input_Output!$G$2:$S$6,13,FALSE),VLOOKUP(Rider_P3,Input_Output!$G$2:$J$6,4,FALSE)))*0.5*rho*Vel_CoM*(Vel_CoM-Rel_airspeed)^2</f>
        <v>#DIV/0!</v>
      </c>
      <c r="BK18" t="e">
        <f ca="1">Power_RR*VLOOKUP(Rider_P3,Input_Output!$G$2:$I$6,3,FALSE)/Mass</f>
        <v>#DIV/0!</v>
      </c>
      <c r="BL18" t="e">
        <f ca="1">VLOOKUP(Rider_P3,Input_Output!$G$2:$I$6,3,FALSE)*accel*Vel_CoM</f>
        <v>#DIV/0!</v>
      </c>
      <c r="BM18" t="e">
        <f ca="1" t="shared" si="17"/>
        <v>#DIV/0!</v>
      </c>
      <c r="BN18" t="e">
        <f ca="1" t="shared" si="44"/>
        <v>#DIV/0!</v>
      </c>
      <c r="BO18" t="e">
        <f ca="1">P4_CDA_factor*(CDA_delta+IF(t&lt;Time_standing,VLOOKUP(Rider_P4,Input_Output!$G$2:$S$6,13,FALSE),VLOOKUP(Rider_P4,Input_Output!$G$2:$J$6,4,FALSE)))*0.5*rho*Vel_CoM*(Vel_CoM-Rel_airspeed)^2</f>
        <v>#DIV/0!</v>
      </c>
      <c r="BP18" t="e">
        <f ca="1">Power_RR*VLOOKUP(Rider_P4,Input_Output!$G$2:$I$6,3,FALSE)/Mass</f>
        <v>#DIV/0!</v>
      </c>
      <c r="BQ18" t="e">
        <f ca="1">VLOOKUP(Rider_P4,Input_Output!$G$2:$I$6,3,FALSE)*accel*Vel_CoM</f>
        <v>#DIV/0!</v>
      </c>
      <c r="BR18" t="e">
        <f ca="1" t="shared" si="18"/>
        <v>#DIV/0!</v>
      </c>
      <c r="BS18" t="e">
        <f ca="1" t="shared" si="45"/>
        <v>#DIV/0!</v>
      </c>
      <c r="BT18" s="10" t="e">
        <f ca="1" t="shared" si="19"/>
        <v>#DIV/0!</v>
      </c>
      <c r="BU18" t="e">
        <f ca="1" t="shared" si="20"/>
        <v>#DIV/0!</v>
      </c>
      <c r="BV18" t="e">
        <f ca="1" t="shared" si="110"/>
        <v>#DIV/0!</v>
      </c>
      <c r="BW18" t="e">
        <f ca="1">IF(BT18-VLOOKUP($BT$2,Input_Output!$G$2:$L$6,6,FALSE)&lt;0,0,BT18-VLOOKUP($BT$2,Input_Output!$G$2:$L$6,6,FALSE))*dt</f>
        <v>#DIV/0!</v>
      </c>
      <c r="BX18" t="e">
        <f ca="1" t="shared" si="91"/>
        <v>#DIV/0!</v>
      </c>
      <c r="BY18" t="b">
        <f t="shared" si="46"/>
        <v>0</v>
      </c>
      <c r="BZ18">
        <f ca="1" t="shared" si="47"/>
        <v>0</v>
      </c>
      <c r="CA18" t="b">
        <f t="shared" si="48"/>
        <v>0</v>
      </c>
      <c r="CB18">
        <f ca="1" t="shared" si="49"/>
        <v>0</v>
      </c>
      <c r="CC18" t="b">
        <f t="shared" si="50"/>
        <v>0</v>
      </c>
      <c r="CD18" s="11">
        <f ca="1" t="shared" si="51"/>
        <v>0</v>
      </c>
      <c r="CE18" t="e">
        <f ca="1" t="shared" si="21"/>
        <v>#DIV/0!</v>
      </c>
      <c r="CF18" t="e">
        <f ca="1" t="shared" si="22"/>
        <v>#DIV/0!</v>
      </c>
      <c r="CG18" t="e">
        <f ca="1" t="shared" si="111"/>
        <v>#DIV/0!</v>
      </c>
      <c r="CH18" t="e">
        <f ca="1">IF(CE18-VLOOKUP($CE$2,Input_Output!$G$2:$L$6,6,FALSE)&lt;0,0,CE18-VLOOKUP($CE$2,Input_Output!$G$2:$L$6,6,FALSE))*dt</f>
        <v>#DIV/0!</v>
      </c>
      <c r="CI18" t="e">
        <f ca="1" t="shared" si="93"/>
        <v>#DIV/0!</v>
      </c>
      <c r="CJ18" t="b">
        <f t="shared" si="52"/>
        <v>0</v>
      </c>
      <c r="CK18">
        <f ca="1" t="shared" si="53"/>
        <v>0</v>
      </c>
      <c r="CL18" t="b">
        <f t="shared" si="54"/>
        <v>0</v>
      </c>
      <c r="CM18">
        <f ca="1" t="shared" si="55"/>
        <v>0</v>
      </c>
      <c r="CN18" t="b">
        <f t="shared" si="56"/>
        <v>0</v>
      </c>
      <c r="CO18" s="11">
        <f ca="1" t="shared" si="57"/>
        <v>0</v>
      </c>
      <c r="CP18" t="e">
        <f ca="1" t="shared" si="23"/>
        <v>#DIV/0!</v>
      </c>
      <c r="CQ18" t="e">
        <f ca="1" t="shared" si="24"/>
        <v>#DIV/0!</v>
      </c>
      <c r="CR18" t="e">
        <f ca="1" t="shared" si="112"/>
        <v>#DIV/0!</v>
      </c>
      <c r="CS18" t="e">
        <f ca="1">IF(CP18-VLOOKUP($CP$2,Input_Output!$G$2:$L$6,6,FALSE)&lt;0,0,CP18-VLOOKUP($CP$2,Input_Output!$G$2:$L$6,6,FALSE))*dt</f>
        <v>#DIV/0!</v>
      </c>
      <c r="CT18" t="e">
        <f ca="1" t="shared" si="95"/>
        <v>#DIV/0!</v>
      </c>
      <c r="CU18" t="b">
        <f t="shared" si="58"/>
        <v>0</v>
      </c>
      <c r="CV18">
        <f ca="1" t="shared" si="59"/>
        <v>0</v>
      </c>
      <c r="CW18" t="b">
        <f t="shared" si="60"/>
        <v>0</v>
      </c>
      <c r="CX18">
        <f ca="1" t="shared" si="61"/>
        <v>0</v>
      </c>
      <c r="CY18" t="b">
        <f t="shared" si="62"/>
        <v>0</v>
      </c>
      <c r="CZ18" s="11">
        <f ca="1" t="shared" si="63"/>
        <v>0</v>
      </c>
      <c r="DA18" t="e">
        <f ca="1" t="shared" si="25"/>
        <v>#DIV/0!</v>
      </c>
      <c r="DB18" t="e">
        <f ca="1" t="shared" si="26"/>
        <v>#DIV/0!</v>
      </c>
      <c r="DC18" t="e">
        <f ca="1" t="shared" si="113"/>
        <v>#DIV/0!</v>
      </c>
      <c r="DD18" t="e">
        <f ca="1">IF(DA18-VLOOKUP($DA$2,Input_Output!$G$2:$L$6,6,FALSE)&lt;0,0,DA18-VLOOKUP($DA$2,Input_Output!$G$2:$L$6,6,FALSE))*dt</f>
        <v>#DIV/0!</v>
      </c>
      <c r="DE18" t="e">
        <f ca="1" t="shared" si="97"/>
        <v>#DIV/0!</v>
      </c>
      <c r="DF18" t="b">
        <f t="shared" si="64"/>
        <v>0</v>
      </c>
      <c r="DG18">
        <f ca="1" t="shared" si="98"/>
        <v>0</v>
      </c>
      <c r="DH18" t="b">
        <f t="shared" si="65"/>
        <v>0</v>
      </c>
      <c r="DI18">
        <f ca="1" t="shared" si="99"/>
        <v>0</v>
      </c>
      <c r="DJ18" t="b">
        <f t="shared" si="66"/>
        <v>0</v>
      </c>
      <c r="DK18" s="11">
        <f ca="1" t="shared" si="100"/>
        <v>0</v>
      </c>
    </row>
    <row r="19" spans="1:115">
      <c r="A19">
        <v>17</v>
      </c>
      <c r="B19">
        <f t="shared" si="27"/>
        <v>0.425</v>
      </c>
      <c r="C19" t="e">
        <f ca="1">IF(O18&gt;P18,VLOOKUP(Calcs!C18,Input_Output!$AN$11:$AS$30,6,FALSE),C18)</f>
        <v>#DIV/0!</v>
      </c>
      <c r="D19" t="e">
        <f ca="1" t="shared" si="103"/>
        <v>#DIV/0!</v>
      </c>
      <c r="E19" t="e">
        <f ca="1">VLOOKUP(D19,Input_Output!$B$2:$E$5,2,FALSE)</f>
        <v>#DIV/0!</v>
      </c>
      <c r="F19" t="e">
        <f ca="1">VLOOKUP(D19,Input_Output!$B$2:$E$5,3,FALSE)</f>
        <v>#DIV/0!</v>
      </c>
      <c r="G19" t="e">
        <f ca="1">VLOOKUP(D19,Input_Output!$B$2:$E$5,4,FALSE)</f>
        <v>#DIV/0!</v>
      </c>
      <c r="H19" s="9">
        <f ca="1">IFERROR(IF(NOT(C19=C18),VLOOKUP(C18,Input_Output!$AN$11:$AV$30,9,FALSE)+O18+O19+(N19*dt),H18+(N19*dt)),tot_dist_end+10)</f>
        <v>4030.15025566113</v>
      </c>
      <c r="I19" s="6" t="e">
        <f ca="1" t="array" ref="I19">IF(OR(Q19=1,Q19=2),Starter_power_increment,Power_increment)+IF(OR(Q19=1,Q19=2),IF(Lap1profile="Male",laponepm(B19),laponepf(B19)),VLOOKUP(_xlfn.SINGLE(Rider_P1),Input_Output!$G$2:$P$6,(7+J19),FALSE))*Efficiency</f>
        <v>#NAME?</v>
      </c>
      <c r="J19" s="21" t="e">
        <f ca="1" t="shared" si="28"/>
        <v>#DIV/0!</v>
      </c>
      <c r="K19" t="e">
        <f ca="1" t="shared" si="104"/>
        <v>#DIV/0!</v>
      </c>
      <c r="L19" t="e">
        <f ca="1" t="shared" si="0"/>
        <v>#DIV/0!</v>
      </c>
      <c r="M19" t="e">
        <f ca="1" t="shared" si="105"/>
        <v>#DIV/0!</v>
      </c>
      <c r="N19" t="e">
        <f ca="1" t="shared" si="32"/>
        <v>#DIV/0!</v>
      </c>
      <c r="O19" s="22" t="e">
        <f ca="1" t="shared" si="33"/>
        <v>#DIV/0!</v>
      </c>
      <c r="P19" s="8" t="e">
        <f ca="1">VLOOKUP(C19,Input_Output!$AN$11:$AT$30,7,FALSE)</f>
        <v>#DIV/0!</v>
      </c>
      <c r="Q19" s="27">
        <f ca="1" t="shared" si="106"/>
        <v>8</v>
      </c>
      <c r="R19" s="6">
        <f ca="1">VLOOKUP(Q19,Input_Output!$AH$11:$AI$43,2,FALSE)</f>
        <v>1005.03756391528</v>
      </c>
      <c r="S19" s="27">
        <f ca="1" t="shared" si="107"/>
        <v>8</v>
      </c>
      <c r="T19" s="12" t="e">
        <f ca="1" t="shared" si="1"/>
        <v>#DIV/0!</v>
      </c>
      <c r="U19" s="12">
        <f ca="1" t="shared" si="2"/>
        <v>3150.74238723526</v>
      </c>
      <c r="V19" s="28">
        <f ca="1" t="shared" si="34"/>
        <v>25.079599014875</v>
      </c>
      <c r="W19" s="8">
        <f ca="1">VLOOKUP(V19,Track_geometry_lookup!$A$3:$E$1003,2,TRUE)</f>
        <v>10000</v>
      </c>
      <c r="X19" s="12">
        <f ca="1">VLOOKUP(V19,Track_geometry_lookup!$A$3:$E$1003,3,TRUE)</f>
        <v>0.229283903834712</v>
      </c>
      <c r="Y19" s="12" t="e">
        <f ca="1">IF(Vel_whls&lt;6,0,(RADIANS(90)-(VLOOKUP(W19,Lean_angle_lookup!$A$3:$AP$244,VLOOKUP(Vel_whls,Lean_angle_lookup!$AU$3:$AV$48,2,TRUE),TRUE))))</f>
        <v>#DIV/0!</v>
      </c>
      <c r="Z19" s="6" t="e">
        <f ca="1">VLOOKUP(Rider_P1,Input_Output!$G$2:$K$6,5,FALSE)</f>
        <v>#DIV/0!</v>
      </c>
      <c r="AA19" s="8" t="e">
        <f ca="1">Static_mass_delta+VLOOKUP(Rider_P1,Input_Output!$G$2:$I$6,3,FALSE)</f>
        <v>#DIV/0!</v>
      </c>
      <c r="AB19" s="12" t="e">
        <f ca="1">P1_CDA_factor*(CDA_delta+IF(t&lt;Time_standing,VLOOKUP(Rider_P1,Input_Output!$G$2:$S$6,13,FALSE),VLOOKUP(Rider_P1,Input_Output!$G$2:$J$6,4,FALSE)))</f>
        <v>#DIV/0!</v>
      </c>
      <c r="AC19" s="12" t="e">
        <f ca="1" t="shared" ref="AC19:AC82" si="116">ATAN(Vel_whls^2*(Turn_radius_lookup-Seat_height_1*COS(Initial_lean_angle))/(9.81*Turn_radius_lookup^2))</f>
        <v>#DIV/0!</v>
      </c>
      <c r="AD19" s="12" t="e">
        <f ca="1" t="shared" si="4"/>
        <v>#DIV/0!</v>
      </c>
      <c r="AE19" s="12" t="e">
        <f ca="1" t="shared" si="4"/>
        <v>#DIV/0!</v>
      </c>
      <c r="AF19" s="6" t="e">
        <f ca="1" t="shared" si="114"/>
        <v>#DIV/0!</v>
      </c>
      <c r="AG19" s="8" t="e">
        <f ca="1" t="shared" si="115"/>
        <v>#DIV/0!</v>
      </c>
      <c r="AH19" s="6" t="e">
        <f ca="1" t="shared" si="5"/>
        <v>#DIV/0!</v>
      </c>
      <c r="AI19" s="9" t="e">
        <f ca="1" t="shared" si="37"/>
        <v>#DIV/0!</v>
      </c>
      <c r="AJ19" t="e">
        <f ca="1" t="shared" si="6"/>
        <v>#DIV/0!</v>
      </c>
      <c r="AK19" s="6" t="e">
        <f ca="1" t="shared" si="7"/>
        <v>#DIV/0!</v>
      </c>
      <c r="AL19" s="6" t="e">
        <f ca="1" t="shared" si="8"/>
        <v>#DIV/0!</v>
      </c>
      <c r="AM19" s="6" t="e">
        <f ca="1" t="shared" si="9"/>
        <v>#DIV/0!</v>
      </c>
      <c r="AN19" s="6" t="e">
        <f ca="1" t="shared" si="10"/>
        <v>#DIV/0!</v>
      </c>
      <c r="AO19" s="6" t="e">
        <f ca="1" t="shared" si="38"/>
        <v>#DIV/0!</v>
      </c>
      <c r="AP19" s="6" t="e">
        <f ca="1" t="shared" si="11"/>
        <v>#DIV/0!</v>
      </c>
      <c r="AQ19" s="8">
        <f ca="1" t="shared" si="39"/>
        <v>76.8629999999876</v>
      </c>
      <c r="AR19" s="6" t="e">
        <f ca="1" t="shared" si="40"/>
        <v>#DIV/0!</v>
      </c>
      <c r="AS19" s="6">
        <f ca="1">VLOOKUP(Q19,Input_Output!$A$57:$B$88,2,FALSE)</f>
        <v>0.3</v>
      </c>
      <c r="AT19" s="6" t="e">
        <f ca="1" t="shared" si="12"/>
        <v>#DIV/0!</v>
      </c>
      <c r="AU19" t="e">
        <f ca="1" t="shared" si="41"/>
        <v>#DIV/0!</v>
      </c>
      <c r="AV19" t="e">
        <f ca="1" t="shared" si="13"/>
        <v>#NAME?</v>
      </c>
      <c r="AW19" t="e">
        <f ca="1" t="shared" si="78"/>
        <v>#NAME?</v>
      </c>
      <c r="AX19" t="e">
        <f ca="1" t="shared" si="79"/>
        <v>#NAME?</v>
      </c>
      <c r="AY19" t="e">
        <f ca="1" t="shared" si="14"/>
        <v>#NAME?</v>
      </c>
      <c r="AZ19" t="e">
        <f ca="1" t="shared" si="108"/>
        <v>#DIV/0!</v>
      </c>
      <c r="BA19" t="e">
        <f ca="1" t="shared" si="109"/>
        <v>#DIV/0!</v>
      </c>
      <c r="BB19">
        <f ca="1" t="shared" si="42"/>
        <v>1000</v>
      </c>
      <c r="BC19" t="e">
        <f ca="1" t="shared" si="15"/>
        <v>#DIV/0!</v>
      </c>
      <c r="BE19" t="e">
        <f ca="1">P2_CDA_factor*(CDA_delta+IF(t&lt;Time_standing,VLOOKUP(Rider_P2,Input_Output!$G$2:$S$6,13,FALSE),VLOOKUP(Rider_P2,Input_Output!$G$2:$J$6,4,FALSE)))*0.5*rho*Vel_CoM*(Vel_CoM-Rel_airspeed)^2</f>
        <v>#DIV/0!</v>
      </c>
      <c r="BF19" t="e">
        <f ca="1">Power_RR*VLOOKUP(Rider_P2,Input_Output!$G$2:$I$6,3,FALSE)/Mass</f>
        <v>#DIV/0!</v>
      </c>
      <c r="BG19" t="e">
        <f ca="1">VLOOKUP(Rider_P2,Input_Output!$G$2:$I$6,3,FALSE)*accel*Vel_CoM</f>
        <v>#DIV/0!</v>
      </c>
      <c r="BH19" t="e">
        <f ca="1" t="shared" si="16"/>
        <v>#DIV/0!</v>
      </c>
      <c r="BI19" t="e">
        <f ca="1" t="shared" si="43"/>
        <v>#DIV/0!</v>
      </c>
      <c r="BJ19" t="e">
        <f ca="1">P3_CDA_factor*(CDA_delta+IF(t&lt;Time_standing,VLOOKUP(Rider_P3,Input_Output!$G$2:$S$6,13,FALSE),VLOOKUP(Rider_P3,Input_Output!$G$2:$J$6,4,FALSE)))*0.5*rho*Vel_CoM*(Vel_CoM-Rel_airspeed)^2</f>
        <v>#DIV/0!</v>
      </c>
      <c r="BK19" t="e">
        <f ca="1">Power_RR*VLOOKUP(Rider_P3,Input_Output!$G$2:$I$6,3,FALSE)/Mass</f>
        <v>#DIV/0!</v>
      </c>
      <c r="BL19" t="e">
        <f ca="1">VLOOKUP(Rider_P3,Input_Output!$G$2:$I$6,3,FALSE)*accel*Vel_CoM</f>
        <v>#DIV/0!</v>
      </c>
      <c r="BM19" t="e">
        <f ca="1" t="shared" si="17"/>
        <v>#DIV/0!</v>
      </c>
      <c r="BN19" t="e">
        <f ca="1" t="shared" si="44"/>
        <v>#DIV/0!</v>
      </c>
      <c r="BO19" t="e">
        <f ca="1">P4_CDA_factor*(CDA_delta+IF(t&lt;Time_standing,VLOOKUP(Rider_P4,Input_Output!$G$2:$S$6,13,FALSE),VLOOKUP(Rider_P4,Input_Output!$G$2:$J$6,4,FALSE)))*0.5*rho*Vel_CoM*(Vel_CoM-Rel_airspeed)^2</f>
        <v>#DIV/0!</v>
      </c>
      <c r="BP19" t="e">
        <f ca="1">Power_RR*VLOOKUP(Rider_P4,Input_Output!$G$2:$I$6,3,FALSE)/Mass</f>
        <v>#DIV/0!</v>
      </c>
      <c r="BQ19" t="e">
        <f ca="1">VLOOKUP(Rider_P4,Input_Output!$G$2:$I$6,3,FALSE)*accel*Vel_CoM</f>
        <v>#DIV/0!</v>
      </c>
      <c r="BR19" t="e">
        <f ca="1" t="shared" si="18"/>
        <v>#DIV/0!</v>
      </c>
      <c r="BS19" t="e">
        <f ca="1" t="shared" si="45"/>
        <v>#DIV/0!</v>
      </c>
      <c r="BT19" s="10" t="e">
        <f ca="1" t="shared" si="19"/>
        <v>#DIV/0!</v>
      </c>
      <c r="BU19" t="e">
        <f ca="1" t="shared" si="20"/>
        <v>#DIV/0!</v>
      </c>
      <c r="BV19" t="e">
        <f ca="1" t="shared" si="110"/>
        <v>#DIV/0!</v>
      </c>
      <c r="BW19" t="e">
        <f ca="1">IF(BT19-VLOOKUP($BT$2,Input_Output!$G$2:$L$6,6,FALSE)&lt;0,0,BT19-VLOOKUP($BT$2,Input_Output!$G$2:$L$6,6,FALSE))*dt</f>
        <v>#DIV/0!</v>
      </c>
      <c r="BX19" t="e">
        <f ca="1" t="shared" si="91"/>
        <v>#DIV/0!</v>
      </c>
      <c r="BY19" t="b">
        <f t="shared" si="46"/>
        <v>0</v>
      </c>
      <c r="BZ19">
        <f ca="1" t="shared" si="47"/>
        <v>0</v>
      </c>
      <c r="CA19" t="b">
        <f t="shared" si="48"/>
        <v>0</v>
      </c>
      <c r="CB19">
        <f ca="1" t="shared" si="49"/>
        <v>0</v>
      </c>
      <c r="CC19" t="b">
        <f t="shared" si="50"/>
        <v>0</v>
      </c>
      <c r="CD19" s="11">
        <f ca="1" t="shared" si="51"/>
        <v>0</v>
      </c>
      <c r="CE19" t="e">
        <f ca="1" t="shared" si="21"/>
        <v>#DIV/0!</v>
      </c>
      <c r="CF19" t="e">
        <f ca="1" t="shared" si="22"/>
        <v>#DIV/0!</v>
      </c>
      <c r="CG19" t="e">
        <f ca="1" t="shared" si="111"/>
        <v>#DIV/0!</v>
      </c>
      <c r="CH19" t="e">
        <f ca="1">IF(CE19-VLOOKUP($CE$2,Input_Output!$G$2:$L$6,6,FALSE)&lt;0,0,CE19-VLOOKUP($CE$2,Input_Output!$G$2:$L$6,6,FALSE))*dt</f>
        <v>#DIV/0!</v>
      </c>
      <c r="CI19" t="e">
        <f ca="1" t="shared" si="93"/>
        <v>#DIV/0!</v>
      </c>
      <c r="CJ19" t="b">
        <f t="shared" si="52"/>
        <v>0</v>
      </c>
      <c r="CK19">
        <f ca="1" t="shared" si="53"/>
        <v>0</v>
      </c>
      <c r="CL19" t="b">
        <f t="shared" si="54"/>
        <v>0</v>
      </c>
      <c r="CM19">
        <f ca="1" t="shared" si="55"/>
        <v>0</v>
      </c>
      <c r="CN19" t="b">
        <f t="shared" si="56"/>
        <v>0</v>
      </c>
      <c r="CO19" s="11">
        <f ca="1" t="shared" si="57"/>
        <v>0</v>
      </c>
      <c r="CP19" t="e">
        <f ca="1" t="shared" si="23"/>
        <v>#DIV/0!</v>
      </c>
      <c r="CQ19" t="e">
        <f ca="1" t="shared" si="24"/>
        <v>#DIV/0!</v>
      </c>
      <c r="CR19" t="e">
        <f ca="1" t="shared" si="112"/>
        <v>#DIV/0!</v>
      </c>
      <c r="CS19" t="e">
        <f ca="1">IF(CP19-VLOOKUP($CP$2,Input_Output!$G$2:$L$6,6,FALSE)&lt;0,0,CP19-VLOOKUP($CP$2,Input_Output!$G$2:$L$6,6,FALSE))*dt</f>
        <v>#DIV/0!</v>
      </c>
      <c r="CT19" t="e">
        <f ca="1" t="shared" si="95"/>
        <v>#DIV/0!</v>
      </c>
      <c r="CU19" t="b">
        <f t="shared" si="58"/>
        <v>0</v>
      </c>
      <c r="CV19">
        <f ca="1" t="shared" si="59"/>
        <v>0</v>
      </c>
      <c r="CW19" t="b">
        <f t="shared" si="60"/>
        <v>0</v>
      </c>
      <c r="CX19">
        <f ca="1" t="shared" si="61"/>
        <v>0</v>
      </c>
      <c r="CY19" t="b">
        <f t="shared" si="62"/>
        <v>0</v>
      </c>
      <c r="CZ19" s="11">
        <f ca="1" t="shared" si="63"/>
        <v>0</v>
      </c>
      <c r="DA19" t="e">
        <f ca="1" t="shared" si="25"/>
        <v>#DIV/0!</v>
      </c>
      <c r="DB19" t="e">
        <f ca="1" t="shared" si="26"/>
        <v>#DIV/0!</v>
      </c>
      <c r="DC19" t="e">
        <f ca="1" t="shared" si="113"/>
        <v>#DIV/0!</v>
      </c>
      <c r="DD19" t="e">
        <f ca="1">IF(DA19-VLOOKUP($DA$2,Input_Output!$G$2:$L$6,6,FALSE)&lt;0,0,DA19-VLOOKUP($DA$2,Input_Output!$G$2:$L$6,6,FALSE))*dt</f>
        <v>#DIV/0!</v>
      </c>
      <c r="DE19" t="e">
        <f ca="1" t="shared" si="97"/>
        <v>#DIV/0!</v>
      </c>
      <c r="DF19" t="b">
        <f t="shared" si="64"/>
        <v>0</v>
      </c>
      <c r="DG19">
        <f ca="1" t="shared" si="98"/>
        <v>0</v>
      </c>
      <c r="DH19" t="b">
        <f t="shared" si="65"/>
        <v>0</v>
      </c>
      <c r="DI19">
        <f ca="1" t="shared" si="99"/>
        <v>0</v>
      </c>
      <c r="DJ19" t="b">
        <f t="shared" si="66"/>
        <v>0</v>
      </c>
      <c r="DK19" s="11">
        <f ca="1" t="shared" si="100"/>
        <v>0</v>
      </c>
    </row>
    <row r="20" spans="1:115">
      <c r="A20">
        <v>18</v>
      </c>
      <c r="B20">
        <f t="shared" si="27"/>
        <v>0.45</v>
      </c>
      <c r="C20" t="e">
        <f ca="1">IF(O19&gt;P19,VLOOKUP(Calcs!C19,Input_Output!$AN$11:$AS$30,6,FALSE),C19)</f>
        <v>#DIV/0!</v>
      </c>
      <c r="D20" t="e">
        <f ca="1" t="shared" si="103"/>
        <v>#DIV/0!</v>
      </c>
      <c r="E20" t="e">
        <f ca="1">VLOOKUP(D20,Input_Output!$B$2:$E$5,2,FALSE)</f>
        <v>#DIV/0!</v>
      </c>
      <c r="F20" t="e">
        <f ca="1">VLOOKUP(D20,Input_Output!$B$2:$E$5,3,FALSE)</f>
        <v>#DIV/0!</v>
      </c>
      <c r="G20" t="e">
        <f ca="1">VLOOKUP(D20,Input_Output!$B$2:$E$5,4,FALSE)</f>
        <v>#DIV/0!</v>
      </c>
      <c r="H20" s="9">
        <f ca="1">IFERROR(IF(NOT(C20=C19),VLOOKUP(C19,Input_Output!$AN$11:$AV$30,9,FALSE)+O19+O20+(N20*dt),H19+(N20*dt)),tot_dist_end+10)</f>
        <v>4030.15025566113</v>
      </c>
      <c r="I20" s="6" t="e">
        <f ca="1" t="array" ref="I20">IF(OR(Q20=1,Q20=2),Starter_power_increment,Power_increment)+IF(OR(Q20=1,Q20=2),IF(Lap1profile="Male",laponepm(B20),laponepf(B20)),VLOOKUP(_xlfn.SINGLE(Rider_P1),Input_Output!$G$2:$P$6,(7+J20),FALSE))*Efficiency</f>
        <v>#NAME?</v>
      </c>
      <c r="J20" s="21" t="e">
        <f ca="1" t="shared" si="28"/>
        <v>#DIV/0!</v>
      </c>
      <c r="K20" t="e">
        <f ca="1" t="shared" si="104"/>
        <v>#DIV/0!</v>
      </c>
      <c r="L20" t="e">
        <f ca="1" t="shared" si="0"/>
        <v>#DIV/0!</v>
      </c>
      <c r="M20" t="e">
        <f ca="1" t="shared" si="105"/>
        <v>#DIV/0!</v>
      </c>
      <c r="N20" t="e">
        <f ca="1" t="shared" si="32"/>
        <v>#DIV/0!</v>
      </c>
      <c r="O20" s="22" t="e">
        <f ca="1" t="shared" si="33"/>
        <v>#DIV/0!</v>
      </c>
      <c r="P20" s="8" t="e">
        <f ca="1">VLOOKUP(C20,Input_Output!$AN$11:$AT$30,7,FALSE)</f>
        <v>#DIV/0!</v>
      </c>
      <c r="Q20" s="27">
        <f ca="1" t="shared" si="106"/>
        <v>9</v>
      </c>
      <c r="R20" s="6">
        <f ca="1">VLOOKUP(Q20,Input_Output!$AH$11:$AI$43,2,FALSE)</f>
        <v>1130.66725940469</v>
      </c>
      <c r="S20" s="27">
        <f ca="1" t="shared" si="107"/>
        <v>9</v>
      </c>
      <c r="T20" s="12" t="e">
        <f ca="1" t="shared" si="1"/>
        <v>#DIV/0!</v>
      </c>
      <c r="U20" s="12">
        <f ca="1" t="shared" si="2"/>
        <v>3025.11269174585</v>
      </c>
      <c r="V20" s="28">
        <f ca="1" t="shared" si="34"/>
        <v>24.079599014875</v>
      </c>
      <c r="W20" s="8">
        <f ca="1">VLOOKUP(V20,Track_geometry_lookup!$A$3:$E$1003,2,TRUE)</f>
        <v>10000</v>
      </c>
      <c r="X20" s="12">
        <f ca="1">VLOOKUP(V20,Track_geometry_lookup!$A$3:$E$1003,3,TRUE)</f>
        <v>0.229283903834712</v>
      </c>
      <c r="Y20" s="12" t="e">
        <f ca="1">IF(Vel_whls&lt;6,0,(RADIANS(90)-(VLOOKUP(W20,Lean_angle_lookup!$A$3:$AP$244,VLOOKUP(Vel_whls,Lean_angle_lookup!$AU$3:$AV$48,2,TRUE),TRUE))))</f>
        <v>#DIV/0!</v>
      </c>
      <c r="Z20" s="6" t="e">
        <f ca="1">VLOOKUP(Rider_P1,Input_Output!$G$2:$K$6,5,FALSE)</f>
        <v>#DIV/0!</v>
      </c>
      <c r="AA20" s="8" t="e">
        <f ca="1">Static_mass_delta+VLOOKUP(Rider_P1,Input_Output!$G$2:$I$6,3,FALSE)</f>
        <v>#DIV/0!</v>
      </c>
      <c r="AB20" s="12" t="e">
        <f ca="1">P1_CDA_factor*(CDA_delta+IF(t&lt;Time_standing,VLOOKUP(Rider_P1,Input_Output!$G$2:$S$6,13,FALSE),VLOOKUP(Rider_P1,Input_Output!$G$2:$J$6,4,FALSE)))</f>
        <v>#DIV/0!</v>
      </c>
      <c r="AC20" s="12" t="e">
        <f ca="1" t="shared" si="116"/>
        <v>#DIV/0!</v>
      </c>
      <c r="AD20" s="12" t="e">
        <f ca="1" t="shared" si="4"/>
        <v>#DIV/0!</v>
      </c>
      <c r="AE20" s="12" t="e">
        <f ca="1" t="shared" si="4"/>
        <v>#DIV/0!</v>
      </c>
      <c r="AF20" s="6" t="e">
        <f ca="1" t="shared" si="114"/>
        <v>#DIV/0!</v>
      </c>
      <c r="AG20" s="8" t="e">
        <f ca="1" t="shared" si="115"/>
        <v>#DIV/0!</v>
      </c>
      <c r="AH20" s="6" t="e">
        <f ca="1" t="shared" si="5"/>
        <v>#DIV/0!</v>
      </c>
      <c r="AI20" s="9" t="e">
        <f ca="1" t="shared" si="37"/>
        <v>#DIV/0!</v>
      </c>
      <c r="AJ20" t="e">
        <f ca="1" t="shared" si="6"/>
        <v>#DIV/0!</v>
      </c>
      <c r="AK20" s="6" t="e">
        <f ca="1" t="shared" si="7"/>
        <v>#DIV/0!</v>
      </c>
      <c r="AL20" s="6" t="e">
        <f ca="1" t="shared" si="8"/>
        <v>#DIV/0!</v>
      </c>
      <c r="AM20" s="6" t="e">
        <f ca="1" t="shared" si="9"/>
        <v>#DIV/0!</v>
      </c>
      <c r="AN20" s="6" t="e">
        <f ca="1" t="shared" si="10"/>
        <v>#DIV/0!</v>
      </c>
      <c r="AO20" s="6" t="e">
        <f ca="1" t="shared" si="38"/>
        <v>#DIV/0!</v>
      </c>
      <c r="AP20" s="6" t="e">
        <f ca="1" t="shared" si="11"/>
        <v>#DIV/0!</v>
      </c>
      <c r="AQ20" s="8">
        <f ca="1" t="shared" si="39"/>
        <v>76.8629999999876</v>
      </c>
      <c r="AR20" s="6" t="e">
        <f ca="1" t="shared" si="40"/>
        <v>#DIV/0!</v>
      </c>
      <c r="AS20" s="6">
        <f ca="1">VLOOKUP(Q20,Input_Output!$A$57:$B$88,2,FALSE)</f>
        <v>0.3</v>
      </c>
      <c r="AT20" s="6" t="e">
        <f ca="1" t="shared" si="12"/>
        <v>#DIV/0!</v>
      </c>
      <c r="AU20" t="e">
        <f ca="1" t="shared" si="41"/>
        <v>#DIV/0!</v>
      </c>
      <c r="AV20" t="e">
        <f ca="1" t="shared" si="13"/>
        <v>#NAME?</v>
      </c>
      <c r="AW20" t="e">
        <f ca="1" t="shared" si="78"/>
        <v>#NAME?</v>
      </c>
      <c r="AX20" t="e">
        <f ca="1" t="shared" si="79"/>
        <v>#NAME?</v>
      </c>
      <c r="AY20" t="e">
        <f ca="1" t="shared" si="14"/>
        <v>#NAME?</v>
      </c>
      <c r="AZ20" t="e">
        <f ca="1" t="shared" si="108"/>
        <v>#DIV/0!</v>
      </c>
      <c r="BA20" t="e">
        <f ca="1" t="shared" si="109"/>
        <v>#DIV/0!</v>
      </c>
      <c r="BB20">
        <f ca="1" t="shared" si="42"/>
        <v>1000</v>
      </c>
      <c r="BC20" t="e">
        <f ca="1" t="shared" si="15"/>
        <v>#DIV/0!</v>
      </c>
      <c r="BE20" t="e">
        <f ca="1">P2_CDA_factor*(CDA_delta+IF(t&lt;Time_standing,VLOOKUP(Rider_P2,Input_Output!$G$2:$S$6,13,FALSE),VLOOKUP(Rider_P2,Input_Output!$G$2:$J$6,4,FALSE)))*0.5*rho*Vel_CoM*(Vel_CoM-Rel_airspeed)^2</f>
        <v>#DIV/0!</v>
      </c>
      <c r="BF20" t="e">
        <f ca="1">Power_RR*VLOOKUP(Rider_P2,Input_Output!$G$2:$I$6,3,FALSE)/Mass</f>
        <v>#DIV/0!</v>
      </c>
      <c r="BG20" t="e">
        <f ca="1">VLOOKUP(Rider_P2,Input_Output!$G$2:$I$6,3,FALSE)*accel*Vel_CoM</f>
        <v>#DIV/0!</v>
      </c>
      <c r="BH20" t="e">
        <f ca="1" t="shared" si="16"/>
        <v>#DIV/0!</v>
      </c>
      <c r="BI20" t="e">
        <f ca="1" t="shared" si="43"/>
        <v>#DIV/0!</v>
      </c>
      <c r="BJ20" t="e">
        <f ca="1">P3_CDA_factor*(CDA_delta+IF(t&lt;Time_standing,VLOOKUP(Rider_P3,Input_Output!$G$2:$S$6,13,FALSE),VLOOKUP(Rider_P3,Input_Output!$G$2:$J$6,4,FALSE)))*0.5*rho*Vel_CoM*(Vel_CoM-Rel_airspeed)^2</f>
        <v>#DIV/0!</v>
      </c>
      <c r="BK20" t="e">
        <f ca="1">Power_RR*VLOOKUP(Rider_P3,Input_Output!$G$2:$I$6,3,FALSE)/Mass</f>
        <v>#DIV/0!</v>
      </c>
      <c r="BL20" t="e">
        <f ca="1">VLOOKUP(Rider_P3,Input_Output!$G$2:$I$6,3,FALSE)*accel*Vel_CoM</f>
        <v>#DIV/0!</v>
      </c>
      <c r="BM20" t="e">
        <f ca="1" t="shared" si="17"/>
        <v>#DIV/0!</v>
      </c>
      <c r="BN20" t="e">
        <f ca="1" t="shared" si="44"/>
        <v>#DIV/0!</v>
      </c>
      <c r="BO20" t="e">
        <f ca="1">P4_CDA_factor*(CDA_delta+IF(t&lt;Time_standing,VLOOKUP(Rider_P4,Input_Output!$G$2:$S$6,13,FALSE),VLOOKUP(Rider_P4,Input_Output!$G$2:$J$6,4,FALSE)))*0.5*rho*Vel_CoM*(Vel_CoM-Rel_airspeed)^2</f>
        <v>#DIV/0!</v>
      </c>
      <c r="BP20" t="e">
        <f ca="1">Power_RR*VLOOKUP(Rider_P4,Input_Output!$G$2:$I$6,3,FALSE)/Mass</f>
        <v>#DIV/0!</v>
      </c>
      <c r="BQ20" t="e">
        <f ca="1">VLOOKUP(Rider_P4,Input_Output!$G$2:$I$6,3,FALSE)*accel*Vel_CoM</f>
        <v>#DIV/0!</v>
      </c>
      <c r="BR20" t="e">
        <f ca="1" t="shared" si="18"/>
        <v>#DIV/0!</v>
      </c>
      <c r="BS20" t="e">
        <f ca="1" t="shared" si="45"/>
        <v>#DIV/0!</v>
      </c>
      <c r="BT20" s="10" t="e">
        <f ca="1" t="shared" si="19"/>
        <v>#DIV/0!</v>
      </c>
      <c r="BU20" t="e">
        <f ca="1" t="shared" si="20"/>
        <v>#DIV/0!</v>
      </c>
      <c r="BV20" t="e">
        <f ca="1" t="shared" si="110"/>
        <v>#DIV/0!</v>
      </c>
      <c r="BW20" t="e">
        <f ca="1">IF(BT20-VLOOKUP($BT$2,Input_Output!$G$2:$L$6,6,FALSE)&lt;0,0,BT20-VLOOKUP($BT$2,Input_Output!$G$2:$L$6,6,FALSE))*dt</f>
        <v>#DIV/0!</v>
      </c>
      <c r="BX20" t="e">
        <f ca="1" t="shared" si="91"/>
        <v>#DIV/0!</v>
      </c>
      <c r="BY20" t="b">
        <f t="shared" si="46"/>
        <v>0</v>
      </c>
      <c r="BZ20">
        <f ca="1" t="shared" si="47"/>
        <v>0</v>
      </c>
      <c r="CA20" t="b">
        <f t="shared" si="48"/>
        <v>0</v>
      </c>
      <c r="CB20">
        <f ca="1" t="shared" si="49"/>
        <v>0</v>
      </c>
      <c r="CC20" t="b">
        <f t="shared" si="50"/>
        <v>0</v>
      </c>
      <c r="CD20" s="11">
        <f ca="1" t="shared" si="51"/>
        <v>0</v>
      </c>
      <c r="CE20" t="e">
        <f ca="1" t="shared" si="21"/>
        <v>#DIV/0!</v>
      </c>
      <c r="CF20" t="e">
        <f ca="1" t="shared" si="22"/>
        <v>#DIV/0!</v>
      </c>
      <c r="CG20" t="e">
        <f ca="1" t="shared" si="111"/>
        <v>#DIV/0!</v>
      </c>
      <c r="CH20" t="e">
        <f ca="1">IF(CE20-VLOOKUP($CE$2,Input_Output!$G$2:$L$6,6,FALSE)&lt;0,0,CE20-VLOOKUP($CE$2,Input_Output!$G$2:$L$6,6,FALSE))*dt</f>
        <v>#DIV/0!</v>
      </c>
      <c r="CI20" t="e">
        <f ca="1" t="shared" si="93"/>
        <v>#DIV/0!</v>
      </c>
      <c r="CJ20" t="b">
        <f t="shared" si="52"/>
        <v>0</v>
      </c>
      <c r="CK20">
        <f ca="1" t="shared" si="53"/>
        <v>0</v>
      </c>
      <c r="CL20" t="b">
        <f t="shared" si="54"/>
        <v>0</v>
      </c>
      <c r="CM20">
        <f ca="1" t="shared" si="55"/>
        <v>0</v>
      </c>
      <c r="CN20" t="b">
        <f t="shared" si="56"/>
        <v>0</v>
      </c>
      <c r="CO20" s="11">
        <f ca="1" t="shared" si="57"/>
        <v>0</v>
      </c>
      <c r="CP20" t="e">
        <f ca="1" t="shared" si="23"/>
        <v>#DIV/0!</v>
      </c>
      <c r="CQ20" t="e">
        <f ca="1" t="shared" si="24"/>
        <v>#DIV/0!</v>
      </c>
      <c r="CR20" t="e">
        <f ca="1" t="shared" si="112"/>
        <v>#DIV/0!</v>
      </c>
      <c r="CS20" t="e">
        <f ca="1">IF(CP20-VLOOKUP($CP$2,Input_Output!$G$2:$L$6,6,FALSE)&lt;0,0,CP20-VLOOKUP($CP$2,Input_Output!$G$2:$L$6,6,FALSE))*dt</f>
        <v>#DIV/0!</v>
      </c>
      <c r="CT20" t="e">
        <f ca="1" t="shared" si="95"/>
        <v>#DIV/0!</v>
      </c>
      <c r="CU20" t="b">
        <f t="shared" si="58"/>
        <v>0</v>
      </c>
      <c r="CV20">
        <f ca="1" t="shared" si="59"/>
        <v>0</v>
      </c>
      <c r="CW20" t="b">
        <f t="shared" si="60"/>
        <v>0</v>
      </c>
      <c r="CX20">
        <f ca="1" t="shared" si="61"/>
        <v>0</v>
      </c>
      <c r="CY20" t="b">
        <f t="shared" si="62"/>
        <v>0</v>
      </c>
      <c r="CZ20" s="11">
        <f ca="1" t="shared" si="63"/>
        <v>0</v>
      </c>
      <c r="DA20" t="e">
        <f ca="1" t="shared" si="25"/>
        <v>#DIV/0!</v>
      </c>
      <c r="DB20" t="e">
        <f ca="1" t="shared" si="26"/>
        <v>#DIV/0!</v>
      </c>
      <c r="DC20" t="e">
        <f ca="1" t="shared" si="113"/>
        <v>#DIV/0!</v>
      </c>
      <c r="DD20" t="e">
        <f ca="1">IF(DA20-VLOOKUP($DA$2,Input_Output!$G$2:$L$6,6,FALSE)&lt;0,0,DA20-VLOOKUP($DA$2,Input_Output!$G$2:$L$6,6,FALSE))*dt</f>
        <v>#DIV/0!</v>
      </c>
      <c r="DE20" t="e">
        <f ca="1" t="shared" si="97"/>
        <v>#DIV/0!</v>
      </c>
      <c r="DF20" t="b">
        <f t="shared" si="64"/>
        <v>0</v>
      </c>
      <c r="DG20">
        <f ca="1" t="shared" si="98"/>
        <v>0</v>
      </c>
      <c r="DH20" t="b">
        <f t="shared" si="65"/>
        <v>0</v>
      </c>
      <c r="DI20">
        <f ca="1" t="shared" si="99"/>
        <v>0</v>
      </c>
      <c r="DJ20" t="b">
        <f t="shared" si="66"/>
        <v>0</v>
      </c>
      <c r="DK20" s="11">
        <f ca="1" t="shared" si="100"/>
        <v>0</v>
      </c>
    </row>
    <row r="21" spans="1:115">
      <c r="A21">
        <v>19</v>
      </c>
      <c r="B21">
        <f t="shared" si="27"/>
        <v>0.475</v>
      </c>
      <c r="C21" t="e">
        <f ca="1">IF(O20&gt;P20,VLOOKUP(Calcs!C20,Input_Output!$AN$11:$AS$30,6,FALSE),C20)</f>
        <v>#DIV/0!</v>
      </c>
      <c r="D21" t="e">
        <f ca="1" t="shared" si="103"/>
        <v>#DIV/0!</v>
      </c>
      <c r="E21" t="e">
        <f ca="1">VLOOKUP(D21,Input_Output!$B$2:$E$5,2,FALSE)</f>
        <v>#DIV/0!</v>
      </c>
      <c r="F21" t="e">
        <f ca="1">VLOOKUP(D21,Input_Output!$B$2:$E$5,3,FALSE)</f>
        <v>#DIV/0!</v>
      </c>
      <c r="G21" t="e">
        <f ca="1">VLOOKUP(D21,Input_Output!$B$2:$E$5,4,FALSE)</f>
        <v>#DIV/0!</v>
      </c>
      <c r="H21" s="9">
        <f ca="1">IFERROR(IF(NOT(C21=C20),VLOOKUP(C20,Input_Output!$AN$11:$AV$30,9,FALSE)+O20+O21+(N21*dt),H20+(N21*dt)),tot_dist_end+10)</f>
        <v>4030.15025566113</v>
      </c>
      <c r="I21" s="6" t="e">
        <f ca="1" t="array" ref="I21">IF(OR(Q21=1,Q21=2),Starter_power_increment,Power_increment)+IF(OR(Q21=1,Q21=2),IF(Lap1profile="Male",laponepm(B21),laponepf(B21)),VLOOKUP(_xlfn.SINGLE(Rider_P1),Input_Output!$G$2:$P$6,(7+J21),FALSE))*Efficiency</f>
        <v>#NAME?</v>
      </c>
      <c r="J21" s="21" t="e">
        <f ca="1" t="shared" si="28"/>
        <v>#DIV/0!</v>
      </c>
      <c r="K21" t="e">
        <f ca="1" t="shared" si="104"/>
        <v>#DIV/0!</v>
      </c>
      <c r="L21" t="e">
        <f ca="1" t="shared" si="0"/>
        <v>#DIV/0!</v>
      </c>
      <c r="M21" t="e">
        <f ca="1" t="shared" si="105"/>
        <v>#DIV/0!</v>
      </c>
      <c r="N21" t="e">
        <f ca="1" t="shared" si="32"/>
        <v>#DIV/0!</v>
      </c>
      <c r="O21" s="22" t="e">
        <f ca="1" t="shared" si="33"/>
        <v>#DIV/0!</v>
      </c>
      <c r="P21" s="8" t="e">
        <f ca="1">VLOOKUP(C21,Input_Output!$AN$11:$AT$30,7,FALSE)</f>
        <v>#DIV/0!</v>
      </c>
      <c r="Q21" s="27">
        <f ca="1" t="shared" si="106"/>
        <v>10</v>
      </c>
      <c r="R21" s="6">
        <f ca="1">VLOOKUP(Q21,Input_Output!$AH$11:$AI$43,2,FALSE)</f>
        <v>1256.2969548941</v>
      </c>
      <c r="S21" s="27">
        <f ca="1" t="shared" si="107"/>
        <v>10</v>
      </c>
      <c r="T21" s="12" t="e">
        <f ca="1" t="shared" si="1"/>
        <v>#DIV/0!</v>
      </c>
      <c r="U21" s="12">
        <f ca="1" t="shared" si="2"/>
        <v>2899.48299625644</v>
      </c>
      <c r="V21" s="28">
        <f ca="1" t="shared" si="34"/>
        <v>23.079599014875</v>
      </c>
      <c r="W21" s="8">
        <f ca="1">VLOOKUP(V21,Track_geometry_lookup!$A$3:$E$1003,2,TRUE)</f>
        <v>10000</v>
      </c>
      <c r="X21" s="12">
        <f ca="1">VLOOKUP(V21,Track_geometry_lookup!$A$3:$E$1003,3,TRUE)</f>
        <v>0.229283903834712</v>
      </c>
      <c r="Y21" s="12" t="e">
        <f ca="1">IF(Vel_whls&lt;6,0,(RADIANS(90)-(VLOOKUP(W21,Lean_angle_lookup!$A$3:$AP$244,VLOOKUP(Vel_whls,Lean_angle_lookup!$AU$3:$AV$48,2,TRUE),TRUE))))</f>
        <v>#DIV/0!</v>
      </c>
      <c r="Z21" s="6" t="e">
        <f ca="1">VLOOKUP(Rider_P1,Input_Output!$G$2:$K$6,5,FALSE)</f>
        <v>#DIV/0!</v>
      </c>
      <c r="AA21" s="8" t="e">
        <f ca="1">Static_mass_delta+VLOOKUP(Rider_P1,Input_Output!$G$2:$I$6,3,FALSE)</f>
        <v>#DIV/0!</v>
      </c>
      <c r="AB21" s="12" t="e">
        <f ca="1">P1_CDA_factor*(CDA_delta+IF(t&lt;Time_standing,VLOOKUP(Rider_P1,Input_Output!$G$2:$S$6,13,FALSE),VLOOKUP(Rider_P1,Input_Output!$G$2:$J$6,4,FALSE)))</f>
        <v>#DIV/0!</v>
      </c>
      <c r="AC21" s="12" t="e">
        <f ca="1" t="shared" si="116"/>
        <v>#DIV/0!</v>
      </c>
      <c r="AD21" s="12" t="e">
        <f ca="1" t="shared" si="4"/>
        <v>#DIV/0!</v>
      </c>
      <c r="AE21" s="12" t="e">
        <f ca="1" t="shared" si="4"/>
        <v>#DIV/0!</v>
      </c>
      <c r="AF21" s="6" t="e">
        <f ca="1" t="shared" si="114"/>
        <v>#DIV/0!</v>
      </c>
      <c r="AG21" s="8" t="e">
        <f ca="1" t="shared" si="115"/>
        <v>#DIV/0!</v>
      </c>
      <c r="AH21" s="6" t="e">
        <f ca="1" t="shared" si="5"/>
        <v>#DIV/0!</v>
      </c>
      <c r="AI21" s="9" t="e">
        <f ca="1" t="shared" si="37"/>
        <v>#DIV/0!</v>
      </c>
      <c r="AJ21" t="e">
        <f ca="1" t="shared" si="6"/>
        <v>#DIV/0!</v>
      </c>
      <c r="AK21" s="6" t="e">
        <f ca="1" t="shared" si="7"/>
        <v>#DIV/0!</v>
      </c>
      <c r="AL21" s="6" t="e">
        <f ca="1" t="shared" si="8"/>
        <v>#DIV/0!</v>
      </c>
      <c r="AM21" s="6" t="e">
        <f ca="1" t="shared" si="9"/>
        <v>#DIV/0!</v>
      </c>
      <c r="AN21" s="6" t="e">
        <f ca="1" t="shared" si="10"/>
        <v>#DIV/0!</v>
      </c>
      <c r="AO21" s="6" t="e">
        <f ca="1" t="shared" si="38"/>
        <v>#DIV/0!</v>
      </c>
      <c r="AP21" s="6" t="e">
        <f ca="1" t="shared" si="11"/>
        <v>#DIV/0!</v>
      </c>
      <c r="AQ21" s="8">
        <f ca="1" t="shared" si="39"/>
        <v>76.8629999999876</v>
      </c>
      <c r="AR21" s="6" t="e">
        <f ca="1" t="shared" si="40"/>
        <v>#DIV/0!</v>
      </c>
      <c r="AS21" s="6">
        <f ca="1">VLOOKUP(Q21,Input_Output!$A$57:$B$88,2,FALSE)</f>
        <v>0.3</v>
      </c>
      <c r="AT21" s="6" t="e">
        <f ca="1" t="shared" si="12"/>
        <v>#DIV/0!</v>
      </c>
      <c r="AU21" t="e">
        <f ca="1" t="shared" si="41"/>
        <v>#DIV/0!</v>
      </c>
      <c r="AV21" t="e">
        <f ca="1" t="shared" si="13"/>
        <v>#NAME?</v>
      </c>
      <c r="AW21" t="e">
        <f ca="1" t="shared" si="78"/>
        <v>#NAME?</v>
      </c>
      <c r="AX21" t="e">
        <f ca="1" t="shared" si="79"/>
        <v>#NAME?</v>
      </c>
      <c r="AY21" t="e">
        <f ca="1" t="shared" si="14"/>
        <v>#NAME?</v>
      </c>
      <c r="AZ21" t="e">
        <f ca="1" t="shared" si="108"/>
        <v>#DIV/0!</v>
      </c>
      <c r="BA21" t="e">
        <f ca="1" t="shared" si="109"/>
        <v>#DIV/0!</v>
      </c>
      <c r="BB21">
        <f ca="1" t="shared" si="42"/>
        <v>1000</v>
      </c>
      <c r="BC21" t="e">
        <f ca="1" t="shared" si="15"/>
        <v>#DIV/0!</v>
      </c>
      <c r="BE21" t="e">
        <f ca="1">P2_CDA_factor*(CDA_delta+IF(t&lt;Time_standing,VLOOKUP(Rider_P2,Input_Output!$G$2:$S$6,13,FALSE),VLOOKUP(Rider_P2,Input_Output!$G$2:$J$6,4,FALSE)))*0.5*rho*Vel_CoM*(Vel_CoM-Rel_airspeed)^2</f>
        <v>#DIV/0!</v>
      </c>
      <c r="BF21" t="e">
        <f ca="1">Power_RR*VLOOKUP(Rider_P2,Input_Output!$G$2:$I$6,3,FALSE)/Mass</f>
        <v>#DIV/0!</v>
      </c>
      <c r="BG21" t="e">
        <f ca="1">VLOOKUP(Rider_P2,Input_Output!$G$2:$I$6,3,FALSE)*accel*Vel_CoM</f>
        <v>#DIV/0!</v>
      </c>
      <c r="BH21" t="e">
        <f ca="1" t="shared" si="16"/>
        <v>#DIV/0!</v>
      </c>
      <c r="BI21" t="e">
        <f ca="1" t="shared" si="43"/>
        <v>#DIV/0!</v>
      </c>
      <c r="BJ21" t="e">
        <f ca="1">P3_CDA_factor*(CDA_delta+IF(t&lt;Time_standing,VLOOKUP(Rider_P3,Input_Output!$G$2:$S$6,13,FALSE),VLOOKUP(Rider_P3,Input_Output!$G$2:$J$6,4,FALSE)))*0.5*rho*Vel_CoM*(Vel_CoM-Rel_airspeed)^2</f>
        <v>#DIV/0!</v>
      </c>
      <c r="BK21" t="e">
        <f ca="1">Power_RR*VLOOKUP(Rider_P3,Input_Output!$G$2:$I$6,3,FALSE)/Mass</f>
        <v>#DIV/0!</v>
      </c>
      <c r="BL21" t="e">
        <f ca="1">VLOOKUP(Rider_P3,Input_Output!$G$2:$I$6,3,FALSE)*accel*Vel_CoM</f>
        <v>#DIV/0!</v>
      </c>
      <c r="BM21" t="e">
        <f ca="1" t="shared" si="17"/>
        <v>#DIV/0!</v>
      </c>
      <c r="BN21" t="e">
        <f ca="1" t="shared" si="44"/>
        <v>#DIV/0!</v>
      </c>
      <c r="BO21" t="e">
        <f ca="1">P4_CDA_factor*(CDA_delta+IF(t&lt;Time_standing,VLOOKUP(Rider_P4,Input_Output!$G$2:$S$6,13,FALSE),VLOOKUP(Rider_P4,Input_Output!$G$2:$J$6,4,FALSE)))*0.5*rho*Vel_CoM*(Vel_CoM-Rel_airspeed)^2</f>
        <v>#DIV/0!</v>
      </c>
      <c r="BP21" t="e">
        <f ca="1">Power_RR*VLOOKUP(Rider_P4,Input_Output!$G$2:$I$6,3,FALSE)/Mass</f>
        <v>#DIV/0!</v>
      </c>
      <c r="BQ21" t="e">
        <f ca="1">VLOOKUP(Rider_P4,Input_Output!$G$2:$I$6,3,FALSE)*accel*Vel_CoM</f>
        <v>#DIV/0!</v>
      </c>
      <c r="BR21" t="e">
        <f ca="1" t="shared" si="18"/>
        <v>#DIV/0!</v>
      </c>
      <c r="BS21" t="e">
        <f ca="1" t="shared" si="45"/>
        <v>#DIV/0!</v>
      </c>
      <c r="BT21" s="10" t="e">
        <f ca="1" t="shared" si="19"/>
        <v>#DIV/0!</v>
      </c>
      <c r="BU21" t="e">
        <f ca="1" t="shared" si="20"/>
        <v>#DIV/0!</v>
      </c>
      <c r="BV21" t="e">
        <f ca="1" t="shared" si="110"/>
        <v>#DIV/0!</v>
      </c>
      <c r="BW21" t="e">
        <f ca="1">IF(BT21-VLOOKUP($BT$2,Input_Output!$G$2:$L$6,6,FALSE)&lt;0,0,BT21-VLOOKUP($BT$2,Input_Output!$G$2:$L$6,6,FALSE))*dt</f>
        <v>#DIV/0!</v>
      </c>
      <c r="BX21" t="e">
        <f ca="1" t="shared" si="91"/>
        <v>#DIV/0!</v>
      </c>
      <c r="BY21" t="b">
        <f t="shared" si="46"/>
        <v>0</v>
      </c>
      <c r="BZ21">
        <f ca="1" t="shared" si="47"/>
        <v>0</v>
      </c>
      <c r="CA21" t="b">
        <f t="shared" si="48"/>
        <v>0</v>
      </c>
      <c r="CB21">
        <f ca="1" t="shared" si="49"/>
        <v>0</v>
      </c>
      <c r="CC21" t="b">
        <f t="shared" si="50"/>
        <v>0</v>
      </c>
      <c r="CD21" s="11">
        <f ca="1" t="shared" si="51"/>
        <v>0</v>
      </c>
      <c r="CE21" t="e">
        <f ca="1" t="shared" si="21"/>
        <v>#DIV/0!</v>
      </c>
      <c r="CF21" t="e">
        <f ca="1" t="shared" si="22"/>
        <v>#DIV/0!</v>
      </c>
      <c r="CG21" t="e">
        <f ca="1" t="shared" si="111"/>
        <v>#DIV/0!</v>
      </c>
      <c r="CH21" t="e">
        <f ca="1">IF(CE21-VLOOKUP($CE$2,Input_Output!$G$2:$L$6,6,FALSE)&lt;0,0,CE21-VLOOKUP($CE$2,Input_Output!$G$2:$L$6,6,FALSE))*dt</f>
        <v>#DIV/0!</v>
      </c>
      <c r="CI21" t="e">
        <f ca="1" t="shared" si="93"/>
        <v>#DIV/0!</v>
      </c>
      <c r="CJ21" t="b">
        <f t="shared" si="52"/>
        <v>0</v>
      </c>
      <c r="CK21">
        <f ca="1" t="shared" si="53"/>
        <v>0</v>
      </c>
      <c r="CL21" t="b">
        <f t="shared" si="54"/>
        <v>0</v>
      </c>
      <c r="CM21">
        <f ca="1" t="shared" si="55"/>
        <v>0</v>
      </c>
      <c r="CN21" t="b">
        <f t="shared" si="56"/>
        <v>0</v>
      </c>
      <c r="CO21" s="11">
        <f ca="1" t="shared" si="57"/>
        <v>0</v>
      </c>
      <c r="CP21" t="e">
        <f ca="1" t="shared" si="23"/>
        <v>#DIV/0!</v>
      </c>
      <c r="CQ21" t="e">
        <f ca="1" t="shared" si="24"/>
        <v>#DIV/0!</v>
      </c>
      <c r="CR21" t="e">
        <f ca="1" t="shared" si="112"/>
        <v>#DIV/0!</v>
      </c>
      <c r="CS21" t="e">
        <f ca="1">IF(CP21-VLOOKUP($CP$2,Input_Output!$G$2:$L$6,6,FALSE)&lt;0,0,CP21-VLOOKUP($CP$2,Input_Output!$G$2:$L$6,6,FALSE))*dt</f>
        <v>#DIV/0!</v>
      </c>
      <c r="CT21" t="e">
        <f ca="1" t="shared" si="95"/>
        <v>#DIV/0!</v>
      </c>
      <c r="CU21" t="b">
        <f t="shared" si="58"/>
        <v>0</v>
      </c>
      <c r="CV21">
        <f ca="1" t="shared" si="59"/>
        <v>0</v>
      </c>
      <c r="CW21" t="b">
        <f t="shared" si="60"/>
        <v>0</v>
      </c>
      <c r="CX21">
        <f ca="1" t="shared" si="61"/>
        <v>0</v>
      </c>
      <c r="CY21" t="b">
        <f t="shared" si="62"/>
        <v>0</v>
      </c>
      <c r="CZ21" s="11">
        <f ca="1" t="shared" si="63"/>
        <v>0</v>
      </c>
      <c r="DA21" t="e">
        <f ca="1" t="shared" si="25"/>
        <v>#DIV/0!</v>
      </c>
      <c r="DB21" t="e">
        <f ca="1" t="shared" si="26"/>
        <v>#DIV/0!</v>
      </c>
      <c r="DC21" t="e">
        <f ca="1" t="shared" si="113"/>
        <v>#DIV/0!</v>
      </c>
      <c r="DD21" t="e">
        <f ca="1">IF(DA21-VLOOKUP($DA$2,Input_Output!$G$2:$L$6,6,FALSE)&lt;0,0,DA21-VLOOKUP($DA$2,Input_Output!$G$2:$L$6,6,FALSE))*dt</f>
        <v>#DIV/0!</v>
      </c>
      <c r="DE21" t="e">
        <f ca="1" t="shared" si="97"/>
        <v>#DIV/0!</v>
      </c>
      <c r="DF21" t="b">
        <f t="shared" si="64"/>
        <v>0</v>
      </c>
      <c r="DG21">
        <f ca="1" t="shared" si="98"/>
        <v>0</v>
      </c>
      <c r="DH21" t="b">
        <f t="shared" si="65"/>
        <v>0</v>
      </c>
      <c r="DI21">
        <f ca="1" t="shared" si="99"/>
        <v>0</v>
      </c>
      <c r="DJ21" t="b">
        <f t="shared" si="66"/>
        <v>0</v>
      </c>
      <c r="DK21" s="11">
        <f ca="1" t="shared" si="100"/>
        <v>0</v>
      </c>
    </row>
    <row r="22" spans="1:115">
      <c r="A22">
        <v>20</v>
      </c>
      <c r="B22">
        <f t="shared" si="27"/>
        <v>0.5</v>
      </c>
      <c r="C22" t="e">
        <f ca="1">IF(O21&gt;P21,VLOOKUP(Calcs!C21,Input_Output!$AN$11:$AS$30,6,FALSE),C21)</f>
        <v>#DIV/0!</v>
      </c>
      <c r="D22" t="e">
        <f ca="1" t="shared" si="103"/>
        <v>#DIV/0!</v>
      </c>
      <c r="E22" t="e">
        <f ca="1">VLOOKUP(D22,Input_Output!$B$2:$E$5,2,FALSE)</f>
        <v>#DIV/0!</v>
      </c>
      <c r="F22" t="e">
        <f ca="1">VLOOKUP(D22,Input_Output!$B$2:$E$5,3,FALSE)</f>
        <v>#DIV/0!</v>
      </c>
      <c r="G22" t="e">
        <f ca="1">VLOOKUP(D22,Input_Output!$B$2:$E$5,4,FALSE)</f>
        <v>#DIV/0!</v>
      </c>
      <c r="H22" s="9">
        <f ca="1">IFERROR(IF(NOT(C22=C21),VLOOKUP(C21,Input_Output!$AN$11:$AV$30,9,FALSE)+O21+O22+(N22*dt),H21+(N22*dt)),tot_dist_end+10)</f>
        <v>4030.15025566113</v>
      </c>
      <c r="I22" s="6" t="e">
        <f ca="1" t="array" ref="I22">IF(OR(Q22=1,Q22=2),Starter_power_increment,Power_increment)+IF(OR(Q22=1,Q22=2),IF(Lap1profile="Male",laponepm(B22),laponepf(B22)),VLOOKUP(_xlfn.SINGLE(Rider_P1),Input_Output!$G$2:$P$6,(7+J22),FALSE))*Efficiency</f>
        <v>#NAME?</v>
      </c>
      <c r="J22" s="21" t="e">
        <f ca="1" t="shared" si="28"/>
        <v>#DIV/0!</v>
      </c>
      <c r="K22" t="e">
        <f ca="1" t="shared" si="104"/>
        <v>#DIV/0!</v>
      </c>
      <c r="L22" t="e">
        <f ca="1" t="shared" si="0"/>
        <v>#DIV/0!</v>
      </c>
      <c r="M22" t="e">
        <f ca="1" t="shared" si="105"/>
        <v>#DIV/0!</v>
      </c>
      <c r="N22" t="e">
        <f ca="1" t="shared" si="32"/>
        <v>#DIV/0!</v>
      </c>
      <c r="O22" s="22" t="e">
        <f ca="1" t="shared" si="33"/>
        <v>#DIV/0!</v>
      </c>
      <c r="P22" s="8" t="e">
        <f ca="1">VLOOKUP(C22,Input_Output!$AN$11:$AT$30,7,FALSE)</f>
        <v>#DIV/0!</v>
      </c>
      <c r="Q22" s="27">
        <f ca="1" t="shared" si="106"/>
        <v>11</v>
      </c>
      <c r="R22" s="6">
        <f ca="1">VLOOKUP(Q22,Input_Output!$AH$11:$AI$43,2,FALSE)</f>
        <v>1381.92665038351</v>
      </c>
      <c r="S22" s="27">
        <f ca="1" t="shared" si="107"/>
        <v>11</v>
      </c>
      <c r="T22" s="12" t="e">
        <f ca="1" t="shared" si="1"/>
        <v>#DIV/0!</v>
      </c>
      <c r="U22" s="12">
        <f ca="1" t="shared" si="2"/>
        <v>2773.85330076703</v>
      </c>
      <c r="V22" s="28">
        <f ca="1" t="shared" si="34"/>
        <v>22.079599014875</v>
      </c>
      <c r="W22" s="8">
        <f ca="1">VLOOKUP(V22,Track_geometry_lookup!$A$3:$E$1003,2,TRUE)</f>
        <v>10000</v>
      </c>
      <c r="X22" s="12">
        <f ca="1">VLOOKUP(V22,Track_geometry_lookup!$A$3:$E$1003,3,TRUE)</f>
        <v>0.229283903834712</v>
      </c>
      <c r="Y22" s="12" t="e">
        <f ca="1">IF(Vel_whls&lt;6,0,(RADIANS(90)-(VLOOKUP(W22,Lean_angle_lookup!$A$3:$AP$244,VLOOKUP(Vel_whls,Lean_angle_lookup!$AU$3:$AV$48,2,TRUE),TRUE))))</f>
        <v>#DIV/0!</v>
      </c>
      <c r="Z22" s="6" t="e">
        <f ca="1">VLOOKUP(Rider_P1,Input_Output!$G$2:$K$6,5,FALSE)</f>
        <v>#DIV/0!</v>
      </c>
      <c r="AA22" s="8" t="e">
        <f ca="1">Static_mass_delta+VLOOKUP(Rider_P1,Input_Output!$G$2:$I$6,3,FALSE)</f>
        <v>#DIV/0!</v>
      </c>
      <c r="AB22" s="12" t="e">
        <f ca="1">P1_CDA_factor*(CDA_delta+IF(t&lt;Time_standing,VLOOKUP(Rider_P1,Input_Output!$G$2:$S$6,13,FALSE),VLOOKUP(Rider_P1,Input_Output!$G$2:$J$6,4,FALSE)))</f>
        <v>#DIV/0!</v>
      </c>
      <c r="AC22" s="12" t="e">
        <f ca="1" t="shared" si="116"/>
        <v>#DIV/0!</v>
      </c>
      <c r="AD22" s="12" t="e">
        <f ca="1" t="shared" si="4"/>
        <v>#DIV/0!</v>
      </c>
      <c r="AE22" s="12" t="e">
        <f ca="1" t="shared" si="4"/>
        <v>#DIV/0!</v>
      </c>
      <c r="AF22" s="6" t="e">
        <f ca="1" t="shared" si="114"/>
        <v>#DIV/0!</v>
      </c>
      <c r="AG22" s="8" t="e">
        <f ca="1" t="shared" si="115"/>
        <v>#DIV/0!</v>
      </c>
      <c r="AH22" s="6" t="e">
        <f ca="1" t="shared" si="5"/>
        <v>#DIV/0!</v>
      </c>
      <c r="AI22" s="9" t="e">
        <f ca="1" t="shared" si="37"/>
        <v>#DIV/0!</v>
      </c>
      <c r="AJ22" t="e">
        <f ca="1" t="shared" si="6"/>
        <v>#DIV/0!</v>
      </c>
      <c r="AK22" s="6" t="e">
        <f ca="1" t="shared" si="7"/>
        <v>#DIV/0!</v>
      </c>
      <c r="AL22" s="6" t="e">
        <f ca="1" t="shared" si="8"/>
        <v>#DIV/0!</v>
      </c>
      <c r="AM22" s="6" t="e">
        <f ca="1" t="shared" si="9"/>
        <v>#DIV/0!</v>
      </c>
      <c r="AN22" s="6" t="e">
        <f ca="1" t="shared" si="10"/>
        <v>#DIV/0!</v>
      </c>
      <c r="AO22" s="6" t="e">
        <f ca="1" t="shared" si="38"/>
        <v>#DIV/0!</v>
      </c>
      <c r="AP22" s="6" t="e">
        <f ca="1" t="shared" si="11"/>
        <v>#DIV/0!</v>
      </c>
      <c r="AQ22" s="8">
        <f ca="1" t="shared" si="39"/>
        <v>76.8629999999876</v>
      </c>
      <c r="AR22" s="6" t="e">
        <f ca="1" t="shared" si="40"/>
        <v>#DIV/0!</v>
      </c>
      <c r="AS22" s="6">
        <f ca="1">VLOOKUP(Q22,Input_Output!$A$57:$B$88,2,FALSE)</f>
        <v>0.3</v>
      </c>
      <c r="AT22" s="6" t="e">
        <f ca="1" t="shared" si="12"/>
        <v>#DIV/0!</v>
      </c>
      <c r="AU22" t="e">
        <f ca="1" t="shared" si="41"/>
        <v>#DIV/0!</v>
      </c>
      <c r="AV22" t="e">
        <f ca="1" t="shared" si="13"/>
        <v>#NAME?</v>
      </c>
      <c r="AW22" t="e">
        <f ca="1" t="shared" si="78"/>
        <v>#NAME?</v>
      </c>
      <c r="AX22" t="e">
        <f ca="1" t="shared" si="79"/>
        <v>#NAME?</v>
      </c>
      <c r="AY22" t="e">
        <f ca="1" t="shared" si="14"/>
        <v>#NAME?</v>
      </c>
      <c r="AZ22" t="e">
        <f ca="1" t="shared" si="108"/>
        <v>#DIV/0!</v>
      </c>
      <c r="BA22" t="e">
        <f ca="1" t="shared" si="109"/>
        <v>#DIV/0!</v>
      </c>
      <c r="BB22">
        <f ca="1" t="shared" si="42"/>
        <v>1000</v>
      </c>
      <c r="BC22" t="e">
        <f ca="1" t="shared" si="15"/>
        <v>#DIV/0!</v>
      </c>
      <c r="BE22" t="e">
        <f ca="1">P2_CDA_factor*(CDA_delta+IF(t&lt;Time_standing,VLOOKUP(Rider_P2,Input_Output!$G$2:$S$6,13,FALSE),VLOOKUP(Rider_P2,Input_Output!$G$2:$J$6,4,FALSE)))*0.5*rho*Vel_CoM*(Vel_CoM-Rel_airspeed)^2</f>
        <v>#DIV/0!</v>
      </c>
      <c r="BF22" t="e">
        <f ca="1">Power_RR*VLOOKUP(Rider_P2,Input_Output!$G$2:$I$6,3,FALSE)/Mass</f>
        <v>#DIV/0!</v>
      </c>
      <c r="BG22" t="e">
        <f ca="1">VLOOKUP(Rider_P2,Input_Output!$G$2:$I$6,3,FALSE)*accel*Vel_CoM</f>
        <v>#DIV/0!</v>
      </c>
      <c r="BH22" t="e">
        <f ca="1" t="shared" si="16"/>
        <v>#DIV/0!</v>
      </c>
      <c r="BI22" t="e">
        <f ca="1" t="shared" si="43"/>
        <v>#DIV/0!</v>
      </c>
      <c r="BJ22" t="e">
        <f ca="1">P3_CDA_factor*(CDA_delta+IF(t&lt;Time_standing,VLOOKUP(Rider_P3,Input_Output!$G$2:$S$6,13,FALSE),VLOOKUP(Rider_P3,Input_Output!$G$2:$J$6,4,FALSE)))*0.5*rho*Vel_CoM*(Vel_CoM-Rel_airspeed)^2</f>
        <v>#DIV/0!</v>
      </c>
      <c r="BK22" t="e">
        <f ca="1">Power_RR*VLOOKUP(Rider_P3,Input_Output!$G$2:$I$6,3,FALSE)/Mass</f>
        <v>#DIV/0!</v>
      </c>
      <c r="BL22" t="e">
        <f ca="1">VLOOKUP(Rider_P3,Input_Output!$G$2:$I$6,3,FALSE)*accel*Vel_CoM</f>
        <v>#DIV/0!</v>
      </c>
      <c r="BM22" t="e">
        <f ca="1" t="shared" si="17"/>
        <v>#DIV/0!</v>
      </c>
      <c r="BN22" t="e">
        <f ca="1" t="shared" si="44"/>
        <v>#DIV/0!</v>
      </c>
      <c r="BO22" t="e">
        <f ca="1">P4_CDA_factor*(CDA_delta+IF(t&lt;Time_standing,VLOOKUP(Rider_P4,Input_Output!$G$2:$S$6,13,FALSE),VLOOKUP(Rider_P4,Input_Output!$G$2:$J$6,4,FALSE)))*0.5*rho*Vel_CoM*(Vel_CoM-Rel_airspeed)^2</f>
        <v>#DIV/0!</v>
      </c>
      <c r="BP22" t="e">
        <f ca="1">Power_RR*VLOOKUP(Rider_P4,Input_Output!$G$2:$I$6,3,FALSE)/Mass</f>
        <v>#DIV/0!</v>
      </c>
      <c r="BQ22" t="e">
        <f ca="1">VLOOKUP(Rider_P4,Input_Output!$G$2:$I$6,3,FALSE)*accel*Vel_CoM</f>
        <v>#DIV/0!</v>
      </c>
      <c r="BR22" t="e">
        <f ca="1" t="shared" si="18"/>
        <v>#DIV/0!</v>
      </c>
      <c r="BS22" t="e">
        <f ca="1" t="shared" si="45"/>
        <v>#DIV/0!</v>
      </c>
      <c r="BT22" s="10" t="e">
        <f ca="1" t="shared" si="19"/>
        <v>#DIV/0!</v>
      </c>
      <c r="BU22" t="e">
        <f ca="1" t="shared" si="20"/>
        <v>#DIV/0!</v>
      </c>
      <c r="BV22" t="e">
        <f ca="1" t="shared" si="110"/>
        <v>#DIV/0!</v>
      </c>
      <c r="BW22" t="e">
        <f ca="1">IF(BT22-VLOOKUP($BT$2,Input_Output!$G$2:$L$6,6,FALSE)&lt;0,0,BT22-VLOOKUP($BT$2,Input_Output!$G$2:$L$6,6,FALSE))*dt</f>
        <v>#DIV/0!</v>
      </c>
      <c r="BX22" t="e">
        <f ca="1" t="shared" si="91"/>
        <v>#DIV/0!</v>
      </c>
      <c r="BY22" t="b">
        <f t="shared" si="46"/>
        <v>0</v>
      </c>
      <c r="BZ22">
        <f ca="1" t="shared" si="47"/>
        <v>0</v>
      </c>
      <c r="CA22" t="b">
        <f t="shared" si="48"/>
        <v>0</v>
      </c>
      <c r="CB22">
        <f ca="1" t="shared" si="49"/>
        <v>0</v>
      </c>
      <c r="CC22" t="b">
        <f t="shared" si="50"/>
        <v>0</v>
      </c>
      <c r="CD22" s="11">
        <f ca="1" t="shared" si="51"/>
        <v>0</v>
      </c>
      <c r="CE22" t="e">
        <f ca="1" t="shared" si="21"/>
        <v>#DIV/0!</v>
      </c>
      <c r="CF22" t="e">
        <f ca="1" t="shared" si="22"/>
        <v>#DIV/0!</v>
      </c>
      <c r="CG22" t="e">
        <f ca="1" t="shared" si="111"/>
        <v>#DIV/0!</v>
      </c>
      <c r="CH22" t="e">
        <f ca="1">IF(CE22-VLOOKUP($CE$2,Input_Output!$G$2:$L$6,6,FALSE)&lt;0,0,CE22-VLOOKUP($CE$2,Input_Output!$G$2:$L$6,6,FALSE))*dt</f>
        <v>#DIV/0!</v>
      </c>
      <c r="CI22" t="e">
        <f ca="1" t="shared" si="93"/>
        <v>#DIV/0!</v>
      </c>
      <c r="CJ22" t="b">
        <f t="shared" si="52"/>
        <v>0</v>
      </c>
      <c r="CK22">
        <f ca="1" t="shared" si="53"/>
        <v>0</v>
      </c>
      <c r="CL22" t="b">
        <f t="shared" si="54"/>
        <v>0</v>
      </c>
      <c r="CM22">
        <f ca="1" t="shared" si="55"/>
        <v>0</v>
      </c>
      <c r="CN22" t="b">
        <f t="shared" si="56"/>
        <v>0</v>
      </c>
      <c r="CO22" s="11">
        <f ca="1" t="shared" si="57"/>
        <v>0</v>
      </c>
      <c r="CP22" t="e">
        <f ca="1" t="shared" si="23"/>
        <v>#DIV/0!</v>
      </c>
      <c r="CQ22" t="e">
        <f ca="1" t="shared" si="24"/>
        <v>#DIV/0!</v>
      </c>
      <c r="CR22" t="e">
        <f ca="1" t="shared" si="112"/>
        <v>#DIV/0!</v>
      </c>
      <c r="CS22" t="e">
        <f ca="1">IF(CP22-VLOOKUP($CP$2,Input_Output!$G$2:$L$6,6,FALSE)&lt;0,0,CP22-VLOOKUP($CP$2,Input_Output!$G$2:$L$6,6,FALSE))*dt</f>
        <v>#DIV/0!</v>
      </c>
      <c r="CT22" t="e">
        <f ca="1" t="shared" si="95"/>
        <v>#DIV/0!</v>
      </c>
      <c r="CU22" t="b">
        <f t="shared" si="58"/>
        <v>0</v>
      </c>
      <c r="CV22">
        <f ca="1" t="shared" si="59"/>
        <v>0</v>
      </c>
      <c r="CW22" t="b">
        <f t="shared" si="60"/>
        <v>0</v>
      </c>
      <c r="CX22">
        <f ca="1" t="shared" si="61"/>
        <v>0</v>
      </c>
      <c r="CY22" t="b">
        <f t="shared" si="62"/>
        <v>0</v>
      </c>
      <c r="CZ22" s="11">
        <f ca="1" t="shared" si="63"/>
        <v>0</v>
      </c>
      <c r="DA22" t="e">
        <f ca="1" t="shared" si="25"/>
        <v>#DIV/0!</v>
      </c>
      <c r="DB22" t="e">
        <f ca="1" t="shared" si="26"/>
        <v>#DIV/0!</v>
      </c>
      <c r="DC22" t="e">
        <f ca="1" t="shared" si="113"/>
        <v>#DIV/0!</v>
      </c>
      <c r="DD22" t="e">
        <f ca="1">IF(DA22-VLOOKUP($DA$2,Input_Output!$G$2:$L$6,6,FALSE)&lt;0,0,DA22-VLOOKUP($DA$2,Input_Output!$G$2:$L$6,6,FALSE))*dt</f>
        <v>#DIV/0!</v>
      </c>
      <c r="DE22" t="e">
        <f ca="1" t="shared" si="97"/>
        <v>#DIV/0!</v>
      </c>
      <c r="DF22" t="b">
        <f t="shared" si="64"/>
        <v>0</v>
      </c>
      <c r="DG22">
        <f ca="1" t="shared" si="98"/>
        <v>0</v>
      </c>
      <c r="DH22" t="b">
        <f t="shared" si="65"/>
        <v>0</v>
      </c>
      <c r="DI22">
        <f ca="1" t="shared" si="99"/>
        <v>0</v>
      </c>
      <c r="DJ22" t="b">
        <f t="shared" si="66"/>
        <v>0</v>
      </c>
      <c r="DK22" s="11">
        <f ca="1" t="shared" si="100"/>
        <v>0</v>
      </c>
    </row>
    <row r="23" spans="1:115">
      <c r="A23">
        <v>21</v>
      </c>
      <c r="B23">
        <f t="shared" si="27"/>
        <v>0.525</v>
      </c>
      <c r="C23" t="e">
        <f ca="1">IF(O22&gt;P22,VLOOKUP(Calcs!C22,Input_Output!$AN$11:$AS$30,6,FALSE),C22)</f>
        <v>#DIV/0!</v>
      </c>
      <c r="D23" t="e">
        <f ca="1" t="shared" si="103"/>
        <v>#DIV/0!</v>
      </c>
      <c r="E23" t="e">
        <f ca="1">VLOOKUP(D23,Input_Output!$B$2:$E$5,2,FALSE)</f>
        <v>#DIV/0!</v>
      </c>
      <c r="F23" t="e">
        <f ca="1">VLOOKUP(D23,Input_Output!$B$2:$E$5,3,FALSE)</f>
        <v>#DIV/0!</v>
      </c>
      <c r="G23" t="e">
        <f ca="1">VLOOKUP(D23,Input_Output!$B$2:$E$5,4,FALSE)</f>
        <v>#DIV/0!</v>
      </c>
      <c r="H23" s="9">
        <f ca="1">IFERROR(IF(NOT(C23=C22),VLOOKUP(C22,Input_Output!$AN$11:$AV$30,9,FALSE)+O22+O23+(N23*dt),H22+(N23*dt)),tot_dist_end+10)</f>
        <v>4030.15025566113</v>
      </c>
      <c r="I23" s="6" t="e">
        <f ca="1" t="array" ref="I23">IF(OR(Q23=1,Q23=2),Starter_power_increment,Power_increment)+IF(OR(Q23=1,Q23=2),IF(Lap1profile="Male",laponepm(B23),laponepf(B23)),VLOOKUP(_xlfn.SINGLE(Rider_P1),Input_Output!$G$2:$P$6,(7+J23),FALSE))*Efficiency</f>
        <v>#NAME?</v>
      </c>
      <c r="J23" s="21" t="e">
        <f ca="1" t="shared" si="28"/>
        <v>#DIV/0!</v>
      </c>
      <c r="K23" t="e">
        <f ca="1" t="shared" si="104"/>
        <v>#DIV/0!</v>
      </c>
      <c r="L23" t="e">
        <f ca="1" t="shared" si="0"/>
        <v>#DIV/0!</v>
      </c>
      <c r="M23" t="e">
        <f ca="1" t="shared" si="105"/>
        <v>#DIV/0!</v>
      </c>
      <c r="N23" t="e">
        <f ca="1" t="shared" si="32"/>
        <v>#DIV/0!</v>
      </c>
      <c r="O23" s="22" t="e">
        <f ca="1" t="shared" si="33"/>
        <v>#DIV/0!</v>
      </c>
      <c r="P23" s="8" t="e">
        <f ca="1">VLOOKUP(C23,Input_Output!$AN$11:$AT$30,7,FALSE)</f>
        <v>#DIV/0!</v>
      </c>
      <c r="Q23" s="27">
        <f ca="1" t="shared" si="106"/>
        <v>12</v>
      </c>
      <c r="R23" s="6">
        <f ca="1">VLOOKUP(Q23,Input_Output!$AH$11:$AI$43,2,FALSE)</f>
        <v>1507.55634587292</v>
      </c>
      <c r="S23" s="27">
        <f ca="1" t="shared" si="107"/>
        <v>12</v>
      </c>
      <c r="T23" s="12" t="e">
        <f ca="1" t="shared" si="1"/>
        <v>#DIV/0!</v>
      </c>
      <c r="U23" s="12">
        <f ca="1" t="shared" si="2"/>
        <v>2648.22360527762</v>
      </c>
      <c r="V23" s="28">
        <f ca="1" t="shared" si="34"/>
        <v>21.079599014875</v>
      </c>
      <c r="W23" s="8">
        <f ca="1">VLOOKUP(V23,Track_geometry_lookup!$A$3:$E$1003,2,TRUE)</f>
        <v>10000</v>
      </c>
      <c r="X23" s="12">
        <f ca="1">VLOOKUP(V23,Track_geometry_lookup!$A$3:$E$1003,3,TRUE)</f>
        <v>0.229283903834712</v>
      </c>
      <c r="Y23" s="12" t="e">
        <f ca="1">IF(Vel_whls&lt;6,0,(RADIANS(90)-(VLOOKUP(W23,Lean_angle_lookup!$A$3:$AP$244,VLOOKUP(Vel_whls,Lean_angle_lookup!$AU$3:$AV$48,2,TRUE),TRUE))))</f>
        <v>#DIV/0!</v>
      </c>
      <c r="Z23" s="6" t="e">
        <f ca="1">VLOOKUP(Rider_P1,Input_Output!$G$2:$K$6,5,FALSE)</f>
        <v>#DIV/0!</v>
      </c>
      <c r="AA23" s="8" t="e">
        <f ca="1">Static_mass_delta+VLOOKUP(Rider_P1,Input_Output!$G$2:$I$6,3,FALSE)</f>
        <v>#DIV/0!</v>
      </c>
      <c r="AB23" s="12" t="e">
        <f ca="1">P1_CDA_factor*(CDA_delta+IF(t&lt;Time_standing,VLOOKUP(Rider_P1,Input_Output!$G$2:$S$6,13,FALSE),VLOOKUP(Rider_P1,Input_Output!$G$2:$J$6,4,FALSE)))</f>
        <v>#DIV/0!</v>
      </c>
      <c r="AC23" s="12" t="e">
        <f ca="1" t="shared" si="116"/>
        <v>#DIV/0!</v>
      </c>
      <c r="AD23" s="12" t="e">
        <f ca="1" t="shared" ref="AD23:AE41" si="117">ATAN(Vel_whls^2*(Turn_radius_lookup-Seat_height_1*SIN(AC23))/(9.81*Turn_radius_lookup^2))</f>
        <v>#DIV/0!</v>
      </c>
      <c r="AE23" s="12" t="e">
        <f ca="1" t="shared" si="117"/>
        <v>#DIV/0!</v>
      </c>
      <c r="AF23" s="6" t="e">
        <f ca="1" t="shared" si="114"/>
        <v>#DIV/0!</v>
      </c>
      <c r="AG23" s="8" t="e">
        <f ca="1" t="shared" si="115"/>
        <v>#DIV/0!</v>
      </c>
      <c r="AH23" s="6" t="e">
        <f ca="1" t="shared" si="5"/>
        <v>#DIV/0!</v>
      </c>
      <c r="AI23" s="9" t="e">
        <f ca="1" t="shared" si="37"/>
        <v>#DIV/0!</v>
      </c>
      <c r="AJ23" t="e">
        <f ca="1" t="shared" si="6"/>
        <v>#DIV/0!</v>
      </c>
      <c r="AK23" s="6" t="e">
        <f ca="1" t="shared" si="7"/>
        <v>#DIV/0!</v>
      </c>
      <c r="AL23" s="6" t="e">
        <f ca="1" t="shared" si="8"/>
        <v>#DIV/0!</v>
      </c>
      <c r="AM23" s="6" t="e">
        <f ca="1" t="shared" si="9"/>
        <v>#DIV/0!</v>
      </c>
      <c r="AN23" s="6" t="e">
        <f ca="1" t="shared" si="10"/>
        <v>#DIV/0!</v>
      </c>
      <c r="AO23" s="6" t="e">
        <f ca="1" t="shared" si="38"/>
        <v>#DIV/0!</v>
      </c>
      <c r="AP23" s="6" t="e">
        <f ca="1" t="shared" si="11"/>
        <v>#DIV/0!</v>
      </c>
      <c r="AQ23" s="8">
        <f ca="1" t="shared" si="39"/>
        <v>76.8629999999876</v>
      </c>
      <c r="AR23" s="6" t="e">
        <f ca="1" t="shared" si="40"/>
        <v>#DIV/0!</v>
      </c>
      <c r="AS23" s="6">
        <f ca="1">VLOOKUP(Q23,Input_Output!$A$57:$B$88,2,FALSE)</f>
        <v>0.3</v>
      </c>
      <c r="AT23" s="6" t="e">
        <f ca="1" t="shared" si="12"/>
        <v>#DIV/0!</v>
      </c>
      <c r="AU23" t="e">
        <f ca="1" t="shared" si="41"/>
        <v>#DIV/0!</v>
      </c>
      <c r="AV23" t="e">
        <f ca="1" t="shared" si="13"/>
        <v>#NAME?</v>
      </c>
      <c r="AW23" t="e">
        <f ca="1" t="shared" si="78"/>
        <v>#NAME?</v>
      </c>
      <c r="AX23" t="e">
        <f ca="1" t="shared" si="79"/>
        <v>#NAME?</v>
      </c>
      <c r="AY23" t="e">
        <f ca="1" t="shared" si="14"/>
        <v>#NAME?</v>
      </c>
      <c r="AZ23" t="e">
        <f ca="1" t="shared" si="108"/>
        <v>#DIV/0!</v>
      </c>
      <c r="BA23" t="e">
        <f ca="1" t="shared" si="109"/>
        <v>#DIV/0!</v>
      </c>
      <c r="BB23">
        <f ca="1" t="shared" si="42"/>
        <v>1000</v>
      </c>
      <c r="BC23" t="e">
        <f ca="1" t="shared" si="15"/>
        <v>#DIV/0!</v>
      </c>
      <c r="BE23" t="e">
        <f ca="1">P2_CDA_factor*(CDA_delta+IF(t&lt;Time_standing,VLOOKUP(Rider_P2,Input_Output!$G$2:$S$6,13,FALSE),VLOOKUP(Rider_P2,Input_Output!$G$2:$J$6,4,FALSE)))*0.5*rho*Vel_CoM*(Vel_CoM-Rel_airspeed)^2</f>
        <v>#DIV/0!</v>
      </c>
      <c r="BF23" t="e">
        <f ca="1">Power_RR*VLOOKUP(Rider_P2,Input_Output!$G$2:$I$6,3,FALSE)/Mass</f>
        <v>#DIV/0!</v>
      </c>
      <c r="BG23" t="e">
        <f ca="1">VLOOKUP(Rider_P2,Input_Output!$G$2:$I$6,3,FALSE)*accel*Vel_CoM</f>
        <v>#DIV/0!</v>
      </c>
      <c r="BH23" t="e">
        <f ca="1" t="shared" si="16"/>
        <v>#DIV/0!</v>
      </c>
      <c r="BI23" t="e">
        <f ca="1" t="shared" si="43"/>
        <v>#DIV/0!</v>
      </c>
      <c r="BJ23" t="e">
        <f ca="1">P3_CDA_factor*(CDA_delta+IF(t&lt;Time_standing,VLOOKUP(Rider_P3,Input_Output!$G$2:$S$6,13,FALSE),VLOOKUP(Rider_P3,Input_Output!$G$2:$J$6,4,FALSE)))*0.5*rho*Vel_CoM*(Vel_CoM-Rel_airspeed)^2</f>
        <v>#DIV/0!</v>
      </c>
      <c r="BK23" t="e">
        <f ca="1">Power_RR*VLOOKUP(Rider_P3,Input_Output!$G$2:$I$6,3,FALSE)/Mass</f>
        <v>#DIV/0!</v>
      </c>
      <c r="BL23" t="e">
        <f ca="1">VLOOKUP(Rider_P3,Input_Output!$G$2:$I$6,3,FALSE)*accel*Vel_CoM</f>
        <v>#DIV/0!</v>
      </c>
      <c r="BM23" t="e">
        <f ca="1" t="shared" si="17"/>
        <v>#DIV/0!</v>
      </c>
      <c r="BN23" t="e">
        <f ca="1" t="shared" si="44"/>
        <v>#DIV/0!</v>
      </c>
      <c r="BO23" t="e">
        <f ca="1">P4_CDA_factor*(CDA_delta+IF(t&lt;Time_standing,VLOOKUP(Rider_P4,Input_Output!$G$2:$S$6,13,FALSE),VLOOKUP(Rider_P4,Input_Output!$G$2:$J$6,4,FALSE)))*0.5*rho*Vel_CoM*(Vel_CoM-Rel_airspeed)^2</f>
        <v>#DIV/0!</v>
      </c>
      <c r="BP23" t="e">
        <f ca="1">Power_RR*VLOOKUP(Rider_P4,Input_Output!$G$2:$I$6,3,FALSE)/Mass</f>
        <v>#DIV/0!</v>
      </c>
      <c r="BQ23" t="e">
        <f ca="1">VLOOKUP(Rider_P4,Input_Output!$G$2:$I$6,3,FALSE)*accel*Vel_CoM</f>
        <v>#DIV/0!</v>
      </c>
      <c r="BR23" t="e">
        <f ca="1" t="shared" si="18"/>
        <v>#DIV/0!</v>
      </c>
      <c r="BS23" t="e">
        <f ca="1" t="shared" si="45"/>
        <v>#DIV/0!</v>
      </c>
      <c r="BT23" s="10" t="e">
        <f ca="1" t="shared" si="19"/>
        <v>#DIV/0!</v>
      </c>
      <c r="BU23" t="e">
        <f ca="1" t="shared" si="20"/>
        <v>#DIV/0!</v>
      </c>
      <c r="BV23" t="e">
        <f ca="1" t="shared" si="110"/>
        <v>#DIV/0!</v>
      </c>
      <c r="BW23" t="e">
        <f ca="1">IF(BT23-VLOOKUP($BT$2,Input_Output!$G$2:$L$6,6,FALSE)&lt;0,0,BT23-VLOOKUP($BT$2,Input_Output!$G$2:$L$6,6,FALSE))*dt</f>
        <v>#DIV/0!</v>
      </c>
      <c r="BX23" t="e">
        <f ca="1" t="shared" si="91"/>
        <v>#DIV/0!</v>
      </c>
      <c r="BY23" t="b">
        <f t="shared" si="46"/>
        <v>0</v>
      </c>
      <c r="BZ23">
        <f ca="1" t="shared" si="47"/>
        <v>0</v>
      </c>
      <c r="CA23" t="b">
        <f t="shared" si="48"/>
        <v>0</v>
      </c>
      <c r="CB23">
        <f ca="1" t="shared" si="49"/>
        <v>0</v>
      </c>
      <c r="CC23" t="b">
        <f t="shared" si="50"/>
        <v>0</v>
      </c>
      <c r="CD23" s="11">
        <f ca="1" t="shared" si="51"/>
        <v>0</v>
      </c>
      <c r="CE23" t="e">
        <f ca="1" t="shared" si="21"/>
        <v>#DIV/0!</v>
      </c>
      <c r="CF23" t="e">
        <f ca="1" t="shared" si="22"/>
        <v>#DIV/0!</v>
      </c>
      <c r="CG23" t="e">
        <f ca="1" t="shared" si="111"/>
        <v>#DIV/0!</v>
      </c>
      <c r="CH23" t="e">
        <f ca="1">IF(CE23-VLOOKUP($CE$2,Input_Output!$G$2:$L$6,6,FALSE)&lt;0,0,CE23-VLOOKUP($CE$2,Input_Output!$G$2:$L$6,6,FALSE))*dt</f>
        <v>#DIV/0!</v>
      </c>
      <c r="CI23" t="e">
        <f ca="1" t="shared" si="93"/>
        <v>#DIV/0!</v>
      </c>
      <c r="CJ23" t="b">
        <f t="shared" si="52"/>
        <v>0</v>
      </c>
      <c r="CK23">
        <f ca="1" t="shared" si="53"/>
        <v>0</v>
      </c>
      <c r="CL23" t="b">
        <f t="shared" si="54"/>
        <v>0</v>
      </c>
      <c r="CM23">
        <f ca="1" t="shared" si="55"/>
        <v>0</v>
      </c>
      <c r="CN23" t="b">
        <f t="shared" si="56"/>
        <v>0</v>
      </c>
      <c r="CO23" s="11">
        <f ca="1" t="shared" si="57"/>
        <v>0</v>
      </c>
      <c r="CP23" t="e">
        <f ca="1" t="shared" si="23"/>
        <v>#DIV/0!</v>
      </c>
      <c r="CQ23" t="e">
        <f ca="1" t="shared" si="24"/>
        <v>#DIV/0!</v>
      </c>
      <c r="CR23" t="e">
        <f ca="1" t="shared" si="112"/>
        <v>#DIV/0!</v>
      </c>
      <c r="CS23" t="e">
        <f ca="1">IF(CP23-VLOOKUP($CP$2,Input_Output!$G$2:$L$6,6,FALSE)&lt;0,0,CP23-VLOOKUP($CP$2,Input_Output!$G$2:$L$6,6,FALSE))*dt</f>
        <v>#DIV/0!</v>
      </c>
      <c r="CT23" t="e">
        <f ca="1" t="shared" si="95"/>
        <v>#DIV/0!</v>
      </c>
      <c r="CU23" t="b">
        <f t="shared" si="58"/>
        <v>0</v>
      </c>
      <c r="CV23">
        <f ca="1" t="shared" si="59"/>
        <v>0</v>
      </c>
      <c r="CW23" t="b">
        <f t="shared" si="60"/>
        <v>0</v>
      </c>
      <c r="CX23">
        <f ca="1" t="shared" si="61"/>
        <v>0</v>
      </c>
      <c r="CY23" t="b">
        <f t="shared" si="62"/>
        <v>0</v>
      </c>
      <c r="CZ23" s="11">
        <f ca="1" t="shared" si="63"/>
        <v>0</v>
      </c>
      <c r="DA23" t="e">
        <f ca="1" t="shared" si="25"/>
        <v>#DIV/0!</v>
      </c>
      <c r="DB23" t="e">
        <f ca="1" t="shared" si="26"/>
        <v>#DIV/0!</v>
      </c>
      <c r="DC23" t="e">
        <f ca="1" t="shared" si="113"/>
        <v>#DIV/0!</v>
      </c>
      <c r="DD23" t="e">
        <f ca="1">IF(DA23-VLOOKUP($DA$2,Input_Output!$G$2:$L$6,6,FALSE)&lt;0,0,DA23-VLOOKUP($DA$2,Input_Output!$G$2:$L$6,6,FALSE))*dt</f>
        <v>#DIV/0!</v>
      </c>
      <c r="DE23" t="e">
        <f ca="1" t="shared" si="97"/>
        <v>#DIV/0!</v>
      </c>
      <c r="DF23" t="b">
        <f t="shared" si="64"/>
        <v>0</v>
      </c>
      <c r="DG23">
        <f ca="1" t="shared" si="98"/>
        <v>0</v>
      </c>
      <c r="DH23" t="b">
        <f t="shared" si="65"/>
        <v>0</v>
      </c>
      <c r="DI23">
        <f ca="1" t="shared" si="99"/>
        <v>0</v>
      </c>
      <c r="DJ23" t="b">
        <f t="shared" si="66"/>
        <v>0</v>
      </c>
      <c r="DK23" s="11">
        <f ca="1" t="shared" si="100"/>
        <v>0</v>
      </c>
    </row>
    <row r="24" spans="1:115">
      <c r="A24">
        <v>22</v>
      </c>
      <c r="B24">
        <f t="shared" si="27"/>
        <v>0.55</v>
      </c>
      <c r="C24" t="e">
        <f ca="1">IF(O23&gt;P23,VLOOKUP(Calcs!C23,Input_Output!$AN$11:$AS$30,6,FALSE),C23)</f>
        <v>#DIV/0!</v>
      </c>
      <c r="D24" t="e">
        <f ca="1" t="shared" si="103"/>
        <v>#DIV/0!</v>
      </c>
      <c r="E24" t="e">
        <f ca="1">VLOOKUP(D24,Input_Output!$B$2:$E$5,2,FALSE)</f>
        <v>#DIV/0!</v>
      </c>
      <c r="F24" t="e">
        <f ca="1">VLOOKUP(D24,Input_Output!$B$2:$E$5,3,FALSE)</f>
        <v>#DIV/0!</v>
      </c>
      <c r="G24" t="e">
        <f ca="1">VLOOKUP(D24,Input_Output!$B$2:$E$5,4,FALSE)</f>
        <v>#DIV/0!</v>
      </c>
      <c r="H24" s="9">
        <f ca="1">IFERROR(IF(NOT(C24=C23),VLOOKUP(C23,Input_Output!$AN$11:$AV$30,9,FALSE)+O23+O24+(N24*dt),H23+(N24*dt)),tot_dist_end+10)</f>
        <v>4030.15025566113</v>
      </c>
      <c r="I24" s="6" t="e">
        <f ca="1" t="array" ref="I24">IF(OR(Q24=1,Q24=2),Starter_power_increment,Power_increment)+IF(OR(Q24=1,Q24=2),IF(Lap1profile="Male",laponepm(B24),laponepf(B24)),VLOOKUP(_xlfn.SINGLE(Rider_P1),Input_Output!$G$2:$P$6,(7+J24),FALSE))*Efficiency</f>
        <v>#NAME?</v>
      </c>
      <c r="J24" s="21" t="e">
        <f ca="1" t="shared" si="28"/>
        <v>#DIV/0!</v>
      </c>
      <c r="K24" t="e">
        <f ca="1" t="shared" si="104"/>
        <v>#DIV/0!</v>
      </c>
      <c r="L24" t="e">
        <f ca="1" t="shared" si="0"/>
        <v>#DIV/0!</v>
      </c>
      <c r="M24" t="e">
        <f ca="1" t="shared" si="105"/>
        <v>#DIV/0!</v>
      </c>
      <c r="N24" t="e">
        <f ca="1" t="shared" si="32"/>
        <v>#DIV/0!</v>
      </c>
      <c r="O24" s="22" t="e">
        <f ca="1" t="shared" si="33"/>
        <v>#DIV/0!</v>
      </c>
      <c r="P24" s="8" t="e">
        <f ca="1">VLOOKUP(C24,Input_Output!$AN$11:$AT$30,7,FALSE)</f>
        <v>#DIV/0!</v>
      </c>
      <c r="Q24" s="27">
        <f ca="1" t="shared" si="106"/>
        <v>13</v>
      </c>
      <c r="R24" s="6">
        <f ca="1">VLOOKUP(Q24,Input_Output!$AH$11:$AI$43,2,FALSE)</f>
        <v>1633.18604136234</v>
      </c>
      <c r="S24" s="27">
        <f ca="1" t="shared" si="107"/>
        <v>13</v>
      </c>
      <c r="T24" s="12" t="e">
        <f ca="1" t="shared" si="1"/>
        <v>#DIV/0!</v>
      </c>
      <c r="U24" s="12">
        <f ca="1" t="shared" si="2"/>
        <v>2522.5939097882</v>
      </c>
      <c r="V24" s="28">
        <f ca="1" t="shared" si="34"/>
        <v>20.0795990148749</v>
      </c>
      <c r="W24" s="8">
        <f ca="1">VLOOKUP(V24,Track_geometry_lookup!$A$3:$E$1003,2,TRUE)</f>
        <v>10000</v>
      </c>
      <c r="X24" s="12">
        <f ca="1">VLOOKUP(V24,Track_geometry_lookup!$A$3:$E$1003,3,TRUE)</f>
        <v>0.229283903834712</v>
      </c>
      <c r="Y24" s="12" t="e">
        <f ca="1">IF(Vel_whls&lt;6,0,(RADIANS(90)-(VLOOKUP(W24,Lean_angle_lookup!$A$3:$AP$244,VLOOKUP(Vel_whls,Lean_angle_lookup!$AU$3:$AV$48,2,TRUE),TRUE))))</f>
        <v>#DIV/0!</v>
      </c>
      <c r="Z24" s="6" t="e">
        <f ca="1">VLOOKUP(Rider_P1,Input_Output!$G$2:$K$6,5,FALSE)</f>
        <v>#DIV/0!</v>
      </c>
      <c r="AA24" s="8" t="e">
        <f ca="1">Static_mass_delta+VLOOKUP(Rider_P1,Input_Output!$G$2:$I$6,3,FALSE)</f>
        <v>#DIV/0!</v>
      </c>
      <c r="AB24" s="12" t="e">
        <f ca="1">P1_CDA_factor*(CDA_delta+IF(t&lt;Time_standing,VLOOKUP(Rider_P1,Input_Output!$G$2:$S$6,13,FALSE),VLOOKUP(Rider_P1,Input_Output!$G$2:$J$6,4,FALSE)))</f>
        <v>#DIV/0!</v>
      </c>
      <c r="AC24" s="12" t="e">
        <f ca="1" t="shared" si="116"/>
        <v>#DIV/0!</v>
      </c>
      <c r="AD24" s="12" t="e">
        <f ca="1" t="shared" si="117"/>
        <v>#DIV/0!</v>
      </c>
      <c r="AE24" s="12" t="e">
        <f ca="1" t="shared" si="117"/>
        <v>#DIV/0!</v>
      </c>
      <c r="AF24" s="6" t="e">
        <f ca="1" t="shared" si="114"/>
        <v>#DIV/0!</v>
      </c>
      <c r="AG24" s="8" t="e">
        <f ca="1" t="shared" si="115"/>
        <v>#DIV/0!</v>
      </c>
      <c r="AH24" s="6" t="e">
        <f ca="1" t="shared" si="5"/>
        <v>#DIV/0!</v>
      </c>
      <c r="AI24" s="9" t="e">
        <f ca="1" t="shared" si="37"/>
        <v>#DIV/0!</v>
      </c>
      <c r="AJ24" t="e">
        <f ca="1" t="shared" si="6"/>
        <v>#DIV/0!</v>
      </c>
      <c r="AK24" s="6" t="e">
        <f ca="1" t="shared" si="7"/>
        <v>#DIV/0!</v>
      </c>
      <c r="AL24" s="6" t="e">
        <f ca="1" t="shared" si="8"/>
        <v>#DIV/0!</v>
      </c>
      <c r="AM24" s="6" t="e">
        <f ca="1" t="shared" si="9"/>
        <v>#DIV/0!</v>
      </c>
      <c r="AN24" s="6" t="e">
        <f ca="1" t="shared" si="10"/>
        <v>#DIV/0!</v>
      </c>
      <c r="AO24" s="6" t="e">
        <f ca="1" t="shared" si="38"/>
        <v>#DIV/0!</v>
      </c>
      <c r="AP24" s="6" t="e">
        <f ca="1" t="shared" si="11"/>
        <v>#DIV/0!</v>
      </c>
      <c r="AQ24" s="8">
        <f ca="1" t="shared" si="39"/>
        <v>76.8629999999876</v>
      </c>
      <c r="AR24" s="6" t="e">
        <f ca="1" t="shared" si="40"/>
        <v>#DIV/0!</v>
      </c>
      <c r="AS24" s="6">
        <f ca="1">VLOOKUP(Q24,Input_Output!$A$57:$B$88,2,FALSE)</f>
        <v>0.3</v>
      </c>
      <c r="AT24" s="6" t="e">
        <f ca="1" t="shared" si="12"/>
        <v>#DIV/0!</v>
      </c>
      <c r="AU24" t="e">
        <f ca="1" t="shared" si="41"/>
        <v>#DIV/0!</v>
      </c>
      <c r="AV24" t="e">
        <f ca="1" t="shared" si="13"/>
        <v>#NAME?</v>
      </c>
      <c r="AW24" t="e">
        <f ca="1" t="shared" si="78"/>
        <v>#NAME?</v>
      </c>
      <c r="AX24" t="e">
        <f ca="1" t="shared" si="79"/>
        <v>#NAME?</v>
      </c>
      <c r="AY24" t="e">
        <f ca="1" t="shared" si="14"/>
        <v>#NAME?</v>
      </c>
      <c r="AZ24" t="e">
        <f ca="1" t="shared" si="108"/>
        <v>#DIV/0!</v>
      </c>
      <c r="BA24" t="e">
        <f ca="1" t="shared" si="109"/>
        <v>#DIV/0!</v>
      </c>
      <c r="BB24">
        <f ca="1" t="shared" si="42"/>
        <v>1000</v>
      </c>
      <c r="BC24" t="e">
        <f ca="1" t="shared" si="15"/>
        <v>#DIV/0!</v>
      </c>
      <c r="BE24" t="e">
        <f ca="1">P2_CDA_factor*(CDA_delta+IF(t&lt;Time_standing,VLOOKUP(Rider_P2,Input_Output!$G$2:$S$6,13,FALSE),VLOOKUP(Rider_P2,Input_Output!$G$2:$J$6,4,FALSE)))*0.5*rho*Vel_CoM*(Vel_CoM-Rel_airspeed)^2</f>
        <v>#DIV/0!</v>
      </c>
      <c r="BF24" t="e">
        <f ca="1">Power_RR*VLOOKUP(Rider_P2,Input_Output!$G$2:$I$6,3,FALSE)/Mass</f>
        <v>#DIV/0!</v>
      </c>
      <c r="BG24" t="e">
        <f ca="1">VLOOKUP(Rider_P2,Input_Output!$G$2:$I$6,3,FALSE)*accel*Vel_CoM</f>
        <v>#DIV/0!</v>
      </c>
      <c r="BH24" t="e">
        <f ca="1" t="shared" si="16"/>
        <v>#DIV/0!</v>
      </c>
      <c r="BI24" t="e">
        <f ca="1" t="shared" si="43"/>
        <v>#DIV/0!</v>
      </c>
      <c r="BJ24" t="e">
        <f ca="1">P3_CDA_factor*(CDA_delta+IF(t&lt;Time_standing,VLOOKUP(Rider_P3,Input_Output!$G$2:$S$6,13,FALSE),VLOOKUP(Rider_P3,Input_Output!$G$2:$J$6,4,FALSE)))*0.5*rho*Vel_CoM*(Vel_CoM-Rel_airspeed)^2</f>
        <v>#DIV/0!</v>
      </c>
      <c r="BK24" t="e">
        <f ca="1">Power_RR*VLOOKUP(Rider_P3,Input_Output!$G$2:$I$6,3,FALSE)/Mass</f>
        <v>#DIV/0!</v>
      </c>
      <c r="BL24" t="e">
        <f ca="1">VLOOKUP(Rider_P3,Input_Output!$G$2:$I$6,3,FALSE)*accel*Vel_CoM</f>
        <v>#DIV/0!</v>
      </c>
      <c r="BM24" t="e">
        <f ca="1" t="shared" si="17"/>
        <v>#DIV/0!</v>
      </c>
      <c r="BN24" t="e">
        <f ca="1" t="shared" si="44"/>
        <v>#DIV/0!</v>
      </c>
      <c r="BO24" t="e">
        <f ca="1">P4_CDA_factor*(CDA_delta+IF(t&lt;Time_standing,VLOOKUP(Rider_P4,Input_Output!$G$2:$S$6,13,FALSE),VLOOKUP(Rider_P4,Input_Output!$G$2:$J$6,4,FALSE)))*0.5*rho*Vel_CoM*(Vel_CoM-Rel_airspeed)^2</f>
        <v>#DIV/0!</v>
      </c>
      <c r="BP24" t="e">
        <f ca="1">Power_RR*VLOOKUP(Rider_P4,Input_Output!$G$2:$I$6,3,FALSE)/Mass</f>
        <v>#DIV/0!</v>
      </c>
      <c r="BQ24" t="e">
        <f ca="1">VLOOKUP(Rider_P4,Input_Output!$G$2:$I$6,3,FALSE)*accel*Vel_CoM</f>
        <v>#DIV/0!</v>
      </c>
      <c r="BR24" t="e">
        <f ca="1" t="shared" si="18"/>
        <v>#DIV/0!</v>
      </c>
      <c r="BS24" t="e">
        <f ca="1" t="shared" si="45"/>
        <v>#DIV/0!</v>
      </c>
      <c r="BT24" s="10" t="e">
        <f ca="1" t="shared" si="19"/>
        <v>#DIV/0!</v>
      </c>
      <c r="BU24" t="e">
        <f ca="1" t="shared" si="20"/>
        <v>#DIV/0!</v>
      </c>
      <c r="BV24" t="e">
        <f ca="1" t="shared" si="110"/>
        <v>#DIV/0!</v>
      </c>
      <c r="BW24" t="e">
        <f ca="1">IF(BT24-VLOOKUP($BT$2,Input_Output!$G$2:$L$6,6,FALSE)&lt;0,0,BT24-VLOOKUP($BT$2,Input_Output!$G$2:$L$6,6,FALSE))*dt</f>
        <v>#DIV/0!</v>
      </c>
      <c r="BX24" t="e">
        <f ca="1" t="shared" si="91"/>
        <v>#DIV/0!</v>
      </c>
      <c r="BY24" t="b">
        <f t="shared" si="46"/>
        <v>0</v>
      </c>
      <c r="BZ24">
        <f ca="1" t="shared" si="47"/>
        <v>0</v>
      </c>
      <c r="CA24" t="b">
        <f t="shared" si="48"/>
        <v>0</v>
      </c>
      <c r="CB24">
        <f ca="1" t="shared" si="49"/>
        <v>0</v>
      </c>
      <c r="CC24" t="b">
        <f t="shared" si="50"/>
        <v>0</v>
      </c>
      <c r="CD24" s="11">
        <f ca="1" t="shared" si="51"/>
        <v>0</v>
      </c>
      <c r="CE24" t="e">
        <f ca="1" t="shared" si="21"/>
        <v>#DIV/0!</v>
      </c>
      <c r="CF24" t="e">
        <f ca="1" t="shared" si="22"/>
        <v>#DIV/0!</v>
      </c>
      <c r="CG24" t="e">
        <f ca="1" t="shared" si="111"/>
        <v>#DIV/0!</v>
      </c>
      <c r="CH24" t="e">
        <f ca="1">IF(CE24-VLOOKUP($CE$2,Input_Output!$G$2:$L$6,6,FALSE)&lt;0,0,CE24-VLOOKUP($CE$2,Input_Output!$G$2:$L$6,6,FALSE))*dt</f>
        <v>#DIV/0!</v>
      </c>
      <c r="CI24" t="e">
        <f ca="1" t="shared" si="93"/>
        <v>#DIV/0!</v>
      </c>
      <c r="CJ24" t="b">
        <f t="shared" si="52"/>
        <v>0</v>
      </c>
      <c r="CK24">
        <f ca="1" t="shared" si="53"/>
        <v>0</v>
      </c>
      <c r="CL24" t="b">
        <f t="shared" si="54"/>
        <v>0</v>
      </c>
      <c r="CM24">
        <f ca="1" t="shared" si="55"/>
        <v>0</v>
      </c>
      <c r="CN24" t="b">
        <f t="shared" si="56"/>
        <v>0</v>
      </c>
      <c r="CO24" s="11">
        <f ca="1" t="shared" si="57"/>
        <v>0</v>
      </c>
      <c r="CP24" t="e">
        <f ca="1" t="shared" si="23"/>
        <v>#DIV/0!</v>
      </c>
      <c r="CQ24" t="e">
        <f ca="1" t="shared" si="24"/>
        <v>#DIV/0!</v>
      </c>
      <c r="CR24" t="e">
        <f ca="1" t="shared" si="112"/>
        <v>#DIV/0!</v>
      </c>
      <c r="CS24" t="e">
        <f ca="1">IF(CP24-VLOOKUP($CP$2,Input_Output!$G$2:$L$6,6,FALSE)&lt;0,0,CP24-VLOOKUP($CP$2,Input_Output!$G$2:$L$6,6,FALSE))*dt</f>
        <v>#DIV/0!</v>
      </c>
      <c r="CT24" t="e">
        <f ca="1" t="shared" si="95"/>
        <v>#DIV/0!</v>
      </c>
      <c r="CU24" t="b">
        <f t="shared" si="58"/>
        <v>0</v>
      </c>
      <c r="CV24">
        <f ca="1" t="shared" si="59"/>
        <v>0</v>
      </c>
      <c r="CW24" t="b">
        <f t="shared" si="60"/>
        <v>0</v>
      </c>
      <c r="CX24">
        <f ca="1" t="shared" si="61"/>
        <v>0</v>
      </c>
      <c r="CY24" t="b">
        <f t="shared" si="62"/>
        <v>0</v>
      </c>
      <c r="CZ24" s="11">
        <f ca="1" t="shared" si="63"/>
        <v>0</v>
      </c>
      <c r="DA24" t="e">
        <f ca="1" t="shared" si="25"/>
        <v>#DIV/0!</v>
      </c>
      <c r="DB24" t="e">
        <f ca="1" t="shared" si="26"/>
        <v>#DIV/0!</v>
      </c>
      <c r="DC24" t="e">
        <f ca="1" t="shared" si="113"/>
        <v>#DIV/0!</v>
      </c>
      <c r="DD24" t="e">
        <f ca="1">IF(DA24-VLOOKUP($DA$2,Input_Output!$G$2:$L$6,6,FALSE)&lt;0,0,DA24-VLOOKUP($DA$2,Input_Output!$G$2:$L$6,6,FALSE))*dt</f>
        <v>#DIV/0!</v>
      </c>
      <c r="DE24" t="e">
        <f ca="1" t="shared" si="97"/>
        <v>#DIV/0!</v>
      </c>
      <c r="DF24" t="b">
        <f t="shared" si="64"/>
        <v>0</v>
      </c>
      <c r="DG24">
        <f ca="1" t="shared" si="98"/>
        <v>0</v>
      </c>
      <c r="DH24" t="b">
        <f t="shared" si="65"/>
        <v>0</v>
      </c>
      <c r="DI24">
        <f ca="1" t="shared" si="99"/>
        <v>0</v>
      </c>
      <c r="DJ24" t="b">
        <f t="shared" si="66"/>
        <v>0</v>
      </c>
      <c r="DK24" s="11">
        <f ca="1" t="shared" si="100"/>
        <v>0</v>
      </c>
    </row>
    <row r="25" spans="1:115">
      <c r="A25">
        <v>23</v>
      </c>
      <c r="B25">
        <f t="shared" si="27"/>
        <v>0.575</v>
      </c>
      <c r="C25" t="e">
        <f ca="1">IF(O24&gt;P24,VLOOKUP(Calcs!C24,Input_Output!$AN$11:$AS$30,6,FALSE),C24)</f>
        <v>#DIV/0!</v>
      </c>
      <c r="D25" t="e">
        <f ca="1" t="shared" si="103"/>
        <v>#DIV/0!</v>
      </c>
      <c r="E25" t="e">
        <f ca="1">VLOOKUP(D25,Input_Output!$B$2:$E$5,2,FALSE)</f>
        <v>#DIV/0!</v>
      </c>
      <c r="F25" t="e">
        <f ca="1">VLOOKUP(D25,Input_Output!$B$2:$E$5,3,FALSE)</f>
        <v>#DIV/0!</v>
      </c>
      <c r="G25" t="e">
        <f ca="1">VLOOKUP(D25,Input_Output!$B$2:$E$5,4,FALSE)</f>
        <v>#DIV/0!</v>
      </c>
      <c r="H25" s="9">
        <f ca="1">IFERROR(IF(NOT(C25=C24),VLOOKUP(C24,Input_Output!$AN$11:$AV$30,9,FALSE)+O24+O25+(N25*dt),H24+(N25*dt)),tot_dist_end+10)</f>
        <v>4030.15025566113</v>
      </c>
      <c r="I25" s="6" t="e">
        <f ca="1" t="array" ref="I25">IF(OR(Q25=1,Q25=2),Starter_power_increment,Power_increment)+IF(OR(Q25=1,Q25=2),IF(Lap1profile="Male",laponepm(B25),laponepf(B25)),VLOOKUP(_xlfn.SINGLE(Rider_P1),Input_Output!$G$2:$P$6,(7+J25),FALSE))*Efficiency</f>
        <v>#NAME?</v>
      </c>
      <c r="J25" s="21" t="e">
        <f ca="1" t="shared" si="28"/>
        <v>#DIV/0!</v>
      </c>
      <c r="K25" t="e">
        <f ca="1" t="shared" si="104"/>
        <v>#DIV/0!</v>
      </c>
      <c r="L25" t="e">
        <f ca="1" t="shared" si="0"/>
        <v>#DIV/0!</v>
      </c>
      <c r="M25" t="e">
        <f ca="1" t="shared" si="105"/>
        <v>#DIV/0!</v>
      </c>
      <c r="N25" t="e">
        <f ca="1" t="shared" si="32"/>
        <v>#DIV/0!</v>
      </c>
      <c r="O25" s="22" t="e">
        <f ca="1" t="shared" si="33"/>
        <v>#DIV/0!</v>
      </c>
      <c r="P25" s="8" t="e">
        <f ca="1">VLOOKUP(C25,Input_Output!$AN$11:$AT$30,7,FALSE)</f>
        <v>#DIV/0!</v>
      </c>
      <c r="Q25" s="27">
        <f ca="1" t="shared" si="106"/>
        <v>14</v>
      </c>
      <c r="R25" s="6">
        <f ca="1">VLOOKUP(Q25,Input_Output!$AH$11:$AI$43,2,FALSE)</f>
        <v>1758.81573685175</v>
      </c>
      <c r="S25" s="27">
        <f ca="1" t="shared" si="107"/>
        <v>14</v>
      </c>
      <c r="T25" s="12" t="e">
        <f ca="1" t="shared" si="1"/>
        <v>#DIV/0!</v>
      </c>
      <c r="U25" s="12">
        <f ca="1" t="shared" si="2"/>
        <v>2396.96421429879</v>
      </c>
      <c r="V25" s="28">
        <f ca="1" t="shared" si="34"/>
        <v>19.0795990148749</v>
      </c>
      <c r="W25" s="8">
        <f ca="1">VLOOKUP(V25,Track_geometry_lookup!$A$3:$E$1003,2,TRUE)</f>
        <v>10000</v>
      </c>
      <c r="X25" s="12">
        <f ca="1">VLOOKUP(V25,Track_geometry_lookup!$A$3:$E$1003,3,TRUE)</f>
        <v>0.229283903834712</v>
      </c>
      <c r="Y25" s="12" t="e">
        <f ca="1">IF(Vel_whls&lt;6,0,(RADIANS(90)-(VLOOKUP(W25,Lean_angle_lookup!$A$3:$AP$244,VLOOKUP(Vel_whls,Lean_angle_lookup!$AU$3:$AV$48,2,TRUE),TRUE))))</f>
        <v>#DIV/0!</v>
      </c>
      <c r="Z25" s="6" t="e">
        <f ca="1">VLOOKUP(Rider_P1,Input_Output!$G$2:$K$6,5,FALSE)</f>
        <v>#DIV/0!</v>
      </c>
      <c r="AA25" s="8" t="e">
        <f ca="1">Static_mass_delta+VLOOKUP(Rider_P1,Input_Output!$G$2:$I$6,3,FALSE)</f>
        <v>#DIV/0!</v>
      </c>
      <c r="AB25" s="12" t="e">
        <f ca="1">P1_CDA_factor*(CDA_delta+IF(t&lt;Time_standing,VLOOKUP(Rider_P1,Input_Output!$G$2:$S$6,13,FALSE),VLOOKUP(Rider_P1,Input_Output!$G$2:$J$6,4,FALSE)))</f>
        <v>#DIV/0!</v>
      </c>
      <c r="AC25" s="12" t="e">
        <f ca="1" t="shared" si="116"/>
        <v>#DIV/0!</v>
      </c>
      <c r="AD25" s="12" t="e">
        <f ca="1" t="shared" si="117"/>
        <v>#DIV/0!</v>
      </c>
      <c r="AE25" s="12" t="e">
        <f ca="1" t="shared" si="117"/>
        <v>#DIV/0!</v>
      </c>
      <c r="AF25" s="6" t="e">
        <f ca="1" t="shared" si="114"/>
        <v>#DIV/0!</v>
      </c>
      <c r="AG25" s="8" t="e">
        <f ca="1" t="shared" si="115"/>
        <v>#DIV/0!</v>
      </c>
      <c r="AH25" s="6" t="e">
        <f ca="1" t="shared" si="5"/>
        <v>#DIV/0!</v>
      </c>
      <c r="AI25" s="9" t="e">
        <f ca="1" t="shared" si="37"/>
        <v>#DIV/0!</v>
      </c>
      <c r="AJ25" t="e">
        <f ca="1" t="shared" si="6"/>
        <v>#DIV/0!</v>
      </c>
      <c r="AK25" s="6" t="e">
        <f ca="1" t="shared" si="7"/>
        <v>#DIV/0!</v>
      </c>
      <c r="AL25" s="6" t="e">
        <f ca="1" t="shared" si="8"/>
        <v>#DIV/0!</v>
      </c>
      <c r="AM25" s="6" t="e">
        <f ca="1" t="shared" si="9"/>
        <v>#DIV/0!</v>
      </c>
      <c r="AN25" s="6" t="e">
        <f ca="1" t="shared" si="10"/>
        <v>#DIV/0!</v>
      </c>
      <c r="AO25" s="6" t="e">
        <f ca="1" t="shared" si="38"/>
        <v>#DIV/0!</v>
      </c>
      <c r="AP25" s="6" t="e">
        <f ca="1" t="shared" si="11"/>
        <v>#DIV/0!</v>
      </c>
      <c r="AQ25" s="8">
        <f ca="1" t="shared" si="39"/>
        <v>76.8629999999876</v>
      </c>
      <c r="AR25" s="6" t="e">
        <f ca="1" t="shared" si="40"/>
        <v>#DIV/0!</v>
      </c>
      <c r="AS25" s="6">
        <f ca="1">VLOOKUP(Q25,Input_Output!$A$57:$B$88,2,FALSE)</f>
        <v>0.3</v>
      </c>
      <c r="AT25" s="6" t="e">
        <f ca="1" t="shared" si="12"/>
        <v>#DIV/0!</v>
      </c>
      <c r="AU25" t="e">
        <f ca="1" t="shared" si="41"/>
        <v>#DIV/0!</v>
      </c>
      <c r="AV25" t="e">
        <f ca="1" t="shared" si="13"/>
        <v>#NAME?</v>
      </c>
      <c r="AW25" t="e">
        <f ca="1" t="shared" si="78"/>
        <v>#NAME?</v>
      </c>
      <c r="AX25" t="e">
        <f ca="1" t="shared" si="79"/>
        <v>#NAME?</v>
      </c>
      <c r="AY25" t="e">
        <f ca="1" t="shared" si="14"/>
        <v>#NAME?</v>
      </c>
      <c r="AZ25" t="e">
        <f ca="1" t="shared" si="108"/>
        <v>#DIV/0!</v>
      </c>
      <c r="BA25" t="e">
        <f ca="1" t="shared" si="109"/>
        <v>#DIV/0!</v>
      </c>
      <c r="BB25">
        <f ca="1" t="shared" si="42"/>
        <v>1000</v>
      </c>
      <c r="BC25" t="e">
        <f ca="1" t="shared" si="15"/>
        <v>#DIV/0!</v>
      </c>
      <c r="BE25" t="e">
        <f ca="1">P2_CDA_factor*(CDA_delta+IF(t&lt;Time_standing,VLOOKUP(Rider_P2,Input_Output!$G$2:$S$6,13,FALSE),VLOOKUP(Rider_P2,Input_Output!$G$2:$J$6,4,FALSE)))*0.5*rho*Vel_CoM*(Vel_CoM-Rel_airspeed)^2</f>
        <v>#DIV/0!</v>
      </c>
      <c r="BF25" t="e">
        <f ca="1">Power_RR*VLOOKUP(Rider_P2,Input_Output!$G$2:$I$6,3,FALSE)/Mass</f>
        <v>#DIV/0!</v>
      </c>
      <c r="BG25" t="e">
        <f ca="1">VLOOKUP(Rider_P2,Input_Output!$G$2:$I$6,3,FALSE)*accel*Vel_CoM</f>
        <v>#DIV/0!</v>
      </c>
      <c r="BH25" t="e">
        <f ca="1" t="shared" si="16"/>
        <v>#DIV/0!</v>
      </c>
      <c r="BI25" t="e">
        <f ca="1" t="shared" si="43"/>
        <v>#DIV/0!</v>
      </c>
      <c r="BJ25" t="e">
        <f ca="1">P3_CDA_factor*(CDA_delta+IF(t&lt;Time_standing,VLOOKUP(Rider_P3,Input_Output!$G$2:$S$6,13,FALSE),VLOOKUP(Rider_P3,Input_Output!$G$2:$J$6,4,FALSE)))*0.5*rho*Vel_CoM*(Vel_CoM-Rel_airspeed)^2</f>
        <v>#DIV/0!</v>
      </c>
      <c r="BK25" t="e">
        <f ca="1">Power_RR*VLOOKUP(Rider_P3,Input_Output!$G$2:$I$6,3,FALSE)/Mass</f>
        <v>#DIV/0!</v>
      </c>
      <c r="BL25" t="e">
        <f ca="1">VLOOKUP(Rider_P3,Input_Output!$G$2:$I$6,3,FALSE)*accel*Vel_CoM</f>
        <v>#DIV/0!</v>
      </c>
      <c r="BM25" t="e">
        <f ca="1" t="shared" si="17"/>
        <v>#DIV/0!</v>
      </c>
      <c r="BN25" t="e">
        <f ca="1" t="shared" si="44"/>
        <v>#DIV/0!</v>
      </c>
      <c r="BO25" t="e">
        <f ca="1">P4_CDA_factor*(CDA_delta+IF(t&lt;Time_standing,VLOOKUP(Rider_P4,Input_Output!$G$2:$S$6,13,FALSE),VLOOKUP(Rider_P4,Input_Output!$G$2:$J$6,4,FALSE)))*0.5*rho*Vel_CoM*(Vel_CoM-Rel_airspeed)^2</f>
        <v>#DIV/0!</v>
      </c>
      <c r="BP25" t="e">
        <f ca="1">Power_RR*VLOOKUP(Rider_P4,Input_Output!$G$2:$I$6,3,FALSE)/Mass</f>
        <v>#DIV/0!</v>
      </c>
      <c r="BQ25" t="e">
        <f ca="1">VLOOKUP(Rider_P4,Input_Output!$G$2:$I$6,3,FALSE)*accel*Vel_CoM</f>
        <v>#DIV/0!</v>
      </c>
      <c r="BR25" t="e">
        <f ca="1" t="shared" si="18"/>
        <v>#DIV/0!</v>
      </c>
      <c r="BS25" t="e">
        <f ca="1" t="shared" si="45"/>
        <v>#DIV/0!</v>
      </c>
      <c r="BT25" s="10" t="e">
        <f ca="1" t="shared" si="19"/>
        <v>#DIV/0!</v>
      </c>
      <c r="BU25" t="e">
        <f ca="1" t="shared" si="20"/>
        <v>#DIV/0!</v>
      </c>
      <c r="BV25" t="e">
        <f ca="1" t="shared" si="110"/>
        <v>#DIV/0!</v>
      </c>
      <c r="BW25" t="e">
        <f ca="1">IF(BT25-VLOOKUP($BT$2,Input_Output!$G$2:$L$6,6,FALSE)&lt;0,0,BT25-VLOOKUP($BT$2,Input_Output!$G$2:$L$6,6,FALSE))*dt</f>
        <v>#DIV/0!</v>
      </c>
      <c r="BX25" t="e">
        <f ca="1" t="shared" si="91"/>
        <v>#DIV/0!</v>
      </c>
      <c r="BY25" t="b">
        <f t="shared" si="46"/>
        <v>0</v>
      </c>
      <c r="BZ25">
        <f ca="1" t="shared" si="47"/>
        <v>0</v>
      </c>
      <c r="CA25" t="b">
        <f t="shared" si="48"/>
        <v>0</v>
      </c>
      <c r="CB25">
        <f ca="1" t="shared" si="49"/>
        <v>0</v>
      </c>
      <c r="CC25" t="b">
        <f t="shared" si="50"/>
        <v>0</v>
      </c>
      <c r="CD25" s="11">
        <f ca="1" t="shared" si="51"/>
        <v>0</v>
      </c>
      <c r="CE25" t="e">
        <f ca="1" t="shared" si="21"/>
        <v>#DIV/0!</v>
      </c>
      <c r="CF25" t="e">
        <f ca="1" t="shared" si="22"/>
        <v>#DIV/0!</v>
      </c>
      <c r="CG25" t="e">
        <f ca="1" t="shared" si="111"/>
        <v>#DIV/0!</v>
      </c>
      <c r="CH25" t="e">
        <f ca="1">IF(CE25-VLOOKUP($CE$2,Input_Output!$G$2:$L$6,6,FALSE)&lt;0,0,CE25-VLOOKUP($CE$2,Input_Output!$G$2:$L$6,6,FALSE))*dt</f>
        <v>#DIV/0!</v>
      </c>
      <c r="CI25" t="e">
        <f ca="1" t="shared" si="93"/>
        <v>#DIV/0!</v>
      </c>
      <c r="CJ25" t="b">
        <f t="shared" si="52"/>
        <v>0</v>
      </c>
      <c r="CK25">
        <f ca="1" t="shared" si="53"/>
        <v>0</v>
      </c>
      <c r="CL25" t="b">
        <f t="shared" si="54"/>
        <v>0</v>
      </c>
      <c r="CM25">
        <f ca="1" t="shared" si="55"/>
        <v>0</v>
      </c>
      <c r="CN25" t="b">
        <f t="shared" si="56"/>
        <v>0</v>
      </c>
      <c r="CO25" s="11">
        <f ca="1" t="shared" si="57"/>
        <v>0</v>
      </c>
      <c r="CP25" t="e">
        <f ca="1" t="shared" si="23"/>
        <v>#DIV/0!</v>
      </c>
      <c r="CQ25" t="e">
        <f ca="1" t="shared" si="24"/>
        <v>#DIV/0!</v>
      </c>
      <c r="CR25" t="e">
        <f ca="1" t="shared" si="112"/>
        <v>#DIV/0!</v>
      </c>
      <c r="CS25" t="e">
        <f ca="1">IF(CP25-VLOOKUP($CP$2,Input_Output!$G$2:$L$6,6,FALSE)&lt;0,0,CP25-VLOOKUP($CP$2,Input_Output!$G$2:$L$6,6,FALSE))*dt</f>
        <v>#DIV/0!</v>
      </c>
      <c r="CT25" t="e">
        <f ca="1" t="shared" si="95"/>
        <v>#DIV/0!</v>
      </c>
      <c r="CU25" t="b">
        <f t="shared" si="58"/>
        <v>0</v>
      </c>
      <c r="CV25">
        <f ca="1" t="shared" si="59"/>
        <v>0</v>
      </c>
      <c r="CW25" t="b">
        <f t="shared" si="60"/>
        <v>0</v>
      </c>
      <c r="CX25">
        <f ca="1" t="shared" si="61"/>
        <v>0</v>
      </c>
      <c r="CY25" t="b">
        <f t="shared" si="62"/>
        <v>0</v>
      </c>
      <c r="CZ25" s="11">
        <f ca="1" t="shared" si="63"/>
        <v>0</v>
      </c>
      <c r="DA25" t="e">
        <f ca="1" t="shared" si="25"/>
        <v>#DIV/0!</v>
      </c>
      <c r="DB25" t="e">
        <f ca="1" t="shared" si="26"/>
        <v>#DIV/0!</v>
      </c>
      <c r="DC25" t="e">
        <f ca="1" t="shared" si="113"/>
        <v>#DIV/0!</v>
      </c>
      <c r="DD25" t="e">
        <f ca="1">IF(DA25-VLOOKUP($DA$2,Input_Output!$G$2:$L$6,6,FALSE)&lt;0,0,DA25-VLOOKUP($DA$2,Input_Output!$G$2:$L$6,6,FALSE))*dt</f>
        <v>#DIV/0!</v>
      </c>
      <c r="DE25" t="e">
        <f ca="1" t="shared" si="97"/>
        <v>#DIV/0!</v>
      </c>
      <c r="DF25" t="b">
        <f t="shared" si="64"/>
        <v>0</v>
      </c>
      <c r="DG25">
        <f ca="1" t="shared" si="98"/>
        <v>0</v>
      </c>
      <c r="DH25" t="b">
        <f t="shared" si="65"/>
        <v>0</v>
      </c>
      <c r="DI25">
        <f ca="1" t="shared" si="99"/>
        <v>0</v>
      </c>
      <c r="DJ25" t="b">
        <f t="shared" si="66"/>
        <v>0</v>
      </c>
      <c r="DK25" s="11">
        <f ca="1" t="shared" si="100"/>
        <v>0</v>
      </c>
    </row>
    <row r="26" spans="1:115">
      <c r="A26">
        <v>24</v>
      </c>
      <c r="B26">
        <f t="shared" si="27"/>
        <v>0.6</v>
      </c>
      <c r="C26" t="e">
        <f ca="1">IF(O25&gt;P25,VLOOKUP(Calcs!C25,Input_Output!$AN$11:$AS$30,6,FALSE),C25)</f>
        <v>#DIV/0!</v>
      </c>
      <c r="D26" t="e">
        <f ca="1" t="shared" si="103"/>
        <v>#DIV/0!</v>
      </c>
      <c r="E26" t="e">
        <f ca="1">VLOOKUP(D26,Input_Output!$B$2:$E$5,2,FALSE)</f>
        <v>#DIV/0!</v>
      </c>
      <c r="F26" t="e">
        <f ca="1">VLOOKUP(D26,Input_Output!$B$2:$E$5,3,FALSE)</f>
        <v>#DIV/0!</v>
      </c>
      <c r="G26" t="e">
        <f ca="1">VLOOKUP(D26,Input_Output!$B$2:$E$5,4,FALSE)</f>
        <v>#DIV/0!</v>
      </c>
      <c r="H26" s="9">
        <f ca="1">IFERROR(IF(NOT(C26=C25),VLOOKUP(C25,Input_Output!$AN$11:$AV$30,9,FALSE)+O25+O26+(N26*dt),H25+(N26*dt)),tot_dist_end+10)</f>
        <v>4030.15025566113</v>
      </c>
      <c r="I26" s="6" t="e">
        <f ca="1" t="array" ref="I26">IF(OR(Q26=1,Q26=2),Starter_power_increment,Power_increment)+IF(OR(Q26=1,Q26=2),IF(Lap1profile="Male",laponepm(B26),laponepf(B26)),VLOOKUP(_xlfn.SINGLE(Rider_P1),Input_Output!$G$2:$P$6,(7+J26),FALSE))*Efficiency</f>
        <v>#NAME?</v>
      </c>
      <c r="J26" s="21" t="e">
        <f ca="1" t="shared" si="28"/>
        <v>#DIV/0!</v>
      </c>
      <c r="K26" t="e">
        <f ca="1" t="shared" si="104"/>
        <v>#DIV/0!</v>
      </c>
      <c r="L26" t="e">
        <f ca="1" t="shared" si="0"/>
        <v>#DIV/0!</v>
      </c>
      <c r="M26" t="e">
        <f ca="1" t="shared" si="105"/>
        <v>#DIV/0!</v>
      </c>
      <c r="N26" t="e">
        <f ca="1" t="shared" si="32"/>
        <v>#DIV/0!</v>
      </c>
      <c r="O26" s="22" t="e">
        <f ca="1" t="shared" si="33"/>
        <v>#DIV/0!</v>
      </c>
      <c r="P26" s="8" t="e">
        <f ca="1">VLOOKUP(C26,Input_Output!$AN$11:$AT$30,7,FALSE)</f>
        <v>#DIV/0!</v>
      </c>
      <c r="Q26" s="27">
        <f ca="1" t="shared" si="106"/>
        <v>15</v>
      </c>
      <c r="R26" s="6">
        <f ca="1">VLOOKUP(Q26,Input_Output!$AH$11:$AI$43,2,FALSE)</f>
        <v>1884.44543234116</v>
      </c>
      <c r="S26" s="27">
        <f ca="1" t="shared" si="107"/>
        <v>15</v>
      </c>
      <c r="T26" s="12" t="e">
        <f ca="1" t="shared" si="1"/>
        <v>#DIV/0!</v>
      </c>
      <c r="U26" s="12">
        <f ca="1" t="shared" si="2"/>
        <v>2271.33451880938</v>
      </c>
      <c r="V26" s="28">
        <f ca="1" t="shared" si="34"/>
        <v>18.0795990148749</v>
      </c>
      <c r="W26" s="8">
        <f ca="1">VLOOKUP(V26,Track_geometry_lookup!$A$3:$E$1003,2,TRUE)</f>
        <v>10000</v>
      </c>
      <c r="X26" s="12">
        <f ca="1">VLOOKUP(V26,Track_geometry_lookup!$A$3:$E$1003,3,TRUE)</f>
        <v>0.229283903834712</v>
      </c>
      <c r="Y26" s="12" t="e">
        <f ca="1">IF(Vel_whls&lt;6,0,(RADIANS(90)-(VLOOKUP(W26,Lean_angle_lookup!$A$3:$AP$244,VLOOKUP(Vel_whls,Lean_angle_lookup!$AU$3:$AV$48,2,TRUE),TRUE))))</f>
        <v>#DIV/0!</v>
      </c>
      <c r="Z26" s="6" t="e">
        <f ca="1">VLOOKUP(Rider_P1,Input_Output!$G$2:$K$6,5,FALSE)</f>
        <v>#DIV/0!</v>
      </c>
      <c r="AA26" s="8" t="e">
        <f ca="1">Static_mass_delta+VLOOKUP(Rider_P1,Input_Output!$G$2:$I$6,3,FALSE)</f>
        <v>#DIV/0!</v>
      </c>
      <c r="AB26" s="12" t="e">
        <f ca="1">P1_CDA_factor*(CDA_delta+IF(t&lt;Time_standing,VLOOKUP(Rider_P1,Input_Output!$G$2:$S$6,13,FALSE),VLOOKUP(Rider_P1,Input_Output!$G$2:$J$6,4,FALSE)))</f>
        <v>#DIV/0!</v>
      </c>
      <c r="AC26" s="12" t="e">
        <f ca="1" t="shared" si="116"/>
        <v>#DIV/0!</v>
      </c>
      <c r="AD26" s="12" t="e">
        <f ca="1" t="shared" si="117"/>
        <v>#DIV/0!</v>
      </c>
      <c r="AE26" s="12" t="e">
        <f ca="1" t="shared" si="117"/>
        <v>#DIV/0!</v>
      </c>
      <c r="AF26" s="6" t="e">
        <f ca="1" t="shared" si="114"/>
        <v>#DIV/0!</v>
      </c>
      <c r="AG26" s="8" t="e">
        <f ca="1" t="shared" si="115"/>
        <v>#DIV/0!</v>
      </c>
      <c r="AH26" s="6" t="e">
        <f ca="1" t="shared" si="5"/>
        <v>#DIV/0!</v>
      </c>
      <c r="AI26" s="9" t="e">
        <f ca="1" t="shared" si="37"/>
        <v>#DIV/0!</v>
      </c>
      <c r="AJ26" t="e">
        <f ca="1" t="shared" si="6"/>
        <v>#DIV/0!</v>
      </c>
      <c r="AK26" s="6" t="e">
        <f ca="1" t="shared" si="7"/>
        <v>#DIV/0!</v>
      </c>
      <c r="AL26" s="6" t="e">
        <f ca="1" t="shared" si="8"/>
        <v>#DIV/0!</v>
      </c>
      <c r="AM26" s="6" t="e">
        <f ca="1" t="shared" si="9"/>
        <v>#DIV/0!</v>
      </c>
      <c r="AN26" s="6" t="e">
        <f ca="1" t="shared" si="10"/>
        <v>#DIV/0!</v>
      </c>
      <c r="AO26" s="6" t="e">
        <f ca="1" t="shared" si="38"/>
        <v>#DIV/0!</v>
      </c>
      <c r="AP26" s="6" t="e">
        <f ca="1" t="shared" si="11"/>
        <v>#DIV/0!</v>
      </c>
      <c r="AQ26" s="8">
        <f ca="1" t="shared" si="39"/>
        <v>76.8629999999876</v>
      </c>
      <c r="AR26" s="6" t="e">
        <f ca="1" t="shared" si="40"/>
        <v>#DIV/0!</v>
      </c>
      <c r="AS26" s="6">
        <f ca="1">VLOOKUP(Q26,Input_Output!$A$57:$B$88,2,FALSE)</f>
        <v>0.3</v>
      </c>
      <c r="AT26" s="6" t="e">
        <f ca="1" t="shared" si="12"/>
        <v>#DIV/0!</v>
      </c>
      <c r="AU26" t="e">
        <f ca="1" t="shared" si="41"/>
        <v>#DIV/0!</v>
      </c>
      <c r="AV26" t="e">
        <f ca="1" t="shared" si="13"/>
        <v>#NAME?</v>
      </c>
      <c r="AW26" t="e">
        <f ca="1" t="shared" si="78"/>
        <v>#NAME?</v>
      </c>
      <c r="AX26" t="e">
        <f ca="1" t="shared" si="79"/>
        <v>#NAME?</v>
      </c>
      <c r="AY26" t="e">
        <f ca="1" t="shared" si="14"/>
        <v>#NAME?</v>
      </c>
      <c r="AZ26" t="e">
        <f ca="1" t="shared" si="108"/>
        <v>#DIV/0!</v>
      </c>
      <c r="BA26" t="e">
        <f ca="1" t="shared" si="109"/>
        <v>#DIV/0!</v>
      </c>
      <c r="BB26">
        <f ca="1" t="shared" si="42"/>
        <v>1000</v>
      </c>
      <c r="BC26" t="e">
        <f ca="1" t="shared" si="15"/>
        <v>#DIV/0!</v>
      </c>
      <c r="BE26" t="e">
        <f ca="1">P2_CDA_factor*(CDA_delta+IF(t&lt;Time_standing,VLOOKUP(Rider_P2,Input_Output!$G$2:$S$6,13,FALSE),VLOOKUP(Rider_P2,Input_Output!$G$2:$J$6,4,FALSE)))*0.5*rho*Vel_CoM*(Vel_CoM-Rel_airspeed)^2</f>
        <v>#DIV/0!</v>
      </c>
      <c r="BF26" t="e">
        <f ca="1">Power_RR*VLOOKUP(Rider_P2,Input_Output!$G$2:$I$6,3,FALSE)/Mass</f>
        <v>#DIV/0!</v>
      </c>
      <c r="BG26" t="e">
        <f ca="1">VLOOKUP(Rider_P2,Input_Output!$G$2:$I$6,3,FALSE)*accel*Vel_CoM</f>
        <v>#DIV/0!</v>
      </c>
      <c r="BH26" t="e">
        <f ca="1" t="shared" si="16"/>
        <v>#DIV/0!</v>
      </c>
      <c r="BI26" t="e">
        <f ca="1" t="shared" si="43"/>
        <v>#DIV/0!</v>
      </c>
      <c r="BJ26" t="e">
        <f ca="1">P3_CDA_factor*(CDA_delta+IF(t&lt;Time_standing,VLOOKUP(Rider_P3,Input_Output!$G$2:$S$6,13,FALSE),VLOOKUP(Rider_P3,Input_Output!$G$2:$J$6,4,FALSE)))*0.5*rho*Vel_CoM*(Vel_CoM-Rel_airspeed)^2</f>
        <v>#DIV/0!</v>
      </c>
      <c r="BK26" t="e">
        <f ca="1">Power_RR*VLOOKUP(Rider_P3,Input_Output!$G$2:$I$6,3,FALSE)/Mass</f>
        <v>#DIV/0!</v>
      </c>
      <c r="BL26" t="e">
        <f ca="1">VLOOKUP(Rider_P3,Input_Output!$G$2:$I$6,3,FALSE)*accel*Vel_CoM</f>
        <v>#DIV/0!</v>
      </c>
      <c r="BM26" t="e">
        <f ca="1" t="shared" si="17"/>
        <v>#DIV/0!</v>
      </c>
      <c r="BN26" t="e">
        <f ca="1" t="shared" si="44"/>
        <v>#DIV/0!</v>
      </c>
      <c r="BO26" t="e">
        <f ca="1">P4_CDA_factor*(CDA_delta+IF(t&lt;Time_standing,VLOOKUP(Rider_P4,Input_Output!$G$2:$S$6,13,FALSE),VLOOKUP(Rider_P4,Input_Output!$G$2:$J$6,4,FALSE)))*0.5*rho*Vel_CoM*(Vel_CoM-Rel_airspeed)^2</f>
        <v>#DIV/0!</v>
      </c>
      <c r="BP26" t="e">
        <f ca="1">Power_RR*VLOOKUP(Rider_P4,Input_Output!$G$2:$I$6,3,FALSE)/Mass</f>
        <v>#DIV/0!</v>
      </c>
      <c r="BQ26" t="e">
        <f ca="1">VLOOKUP(Rider_P4,Input_Output!$G$2:$I$6,3,FALSE)*accel*Vel_CoM</f>
        <v>#DIV/0!</v>
      </c>
      <c r="BR26" t="e">
        <f ca="1" t="shared" si="18"/>
        <v>#DIV/0!</v>
      </c>
      <c r="BS26" t="e">
        <f ca="1" t="shared" si="45"/>
        <v>#DIV/0!</v>
      </c>
      <c r="BT26" s="10" t="e">
        <f ca="1" t="shared" si="19"/>
        <v>#DIV/0!</v>
      </c>
      <c r="BU26" t="e">
        <f ca="1" t="shared" si="20"/>
        <v>#DIV/0!</v>
      </c>
      <c r="BV26" t="e">
        <f ca="1" t="shared" si="110"/>
        <v>#DIV/0!</v>
      </c>
      <c r="BW26" t="e">
        <f ca="1">IF(BT26-VLOOKUP($BT$2,Input_Output!$G$2:$L$6,6,FALSE)&lt;0,0,BT26-VLOOKUP($BT$2,Input_Output!$G$2:$L$6,6,FALSE))*dt</f>
        <v>#DIV/0!</v>
      </c>
      <c r="BX26" t="e">
        <f ca="1" t="shared" si="91"/>
        <v>#DIV/0!</v>
      </c>
      <c r="BY26" t="b">
        <f t="shared" si="46"/>
        <v>0</v>
      </c>
      <c r="BZ26">
        <f ca="1" t="shared" si="47"/>
        <v>0</v>
      </c>
      <c r="CA26" t="b">
        <f t="shared" si="48"/>
        <v>0</v>
      </c>
      <c r="CB26">
        <f ca="1" t="shared" si="49"/>
        <v>0</v>
      </c>
      <c r="CC26" t="b">
        <f t="shared" si="50"/>
        <v>0</v>
      </c>
      <c r="CD26" s="11">
        <f ca="1" t="shared" si="51"/>
        <v>0</v>
      </c>
      <c r="CE26" t="e">
        <f ca="1" t="shared" si="21"/>
        <v>#DIV/0!</v>
      </c>
      <c r="CF26" t="e">
        <f ca="1" t="shared" si="22"/>
        <v>#DIV/0!</v>
      </c>
      <c r="CG26" t="e">
        <f ca="1" t="shared" si="111"/>
        <v>#DIV/0!</v>
      </c>
      <c r="CH26" t="e">
        <f ca="1">IF(CE26-VLOOKUP($CE$2,Input_Output!$G$2:$L$6,6,FALSE)&lt;0,0,CE26-VLOOKUP($CE$2,Input_Output!$G$2:$L$6,6,FALSE))*dt</f>
        <v>#DIV/0!</v>
      </c>
      <c r="CI26" t="e">
        <f ca="1" t="shared" si="93"/>
        <v>#DIV/0!</v>
      </c>
      <c r="CJ26" t="b">
        <f t="shared" si="52"/>
        <v>0</v>
      </c>
      <c r="CK26">
        <f ca="1" t="shared" si="53"/>
        <v>0</v>
      </c>
      <c r="CL26" t="b">
        <f t="shared" si="54"/>
        <v>0</v>
      </c>
      <c r="CM26">
        <f ca="1" t="shared" si="55"/>
        <v>0</v>
      </c>
      <c r="CN26" t="b">
        <f t="shared" si="56"/>
        <v>0</v>
      </c>
      <c r="CO26" s="11">
        <f ca="1" t="shared" si="57"/>
        <v>0</v>
      </c>
      <c r="CP26" t="e">
        <f ca="1" t="shared" si="23"/>
        <v>#DIV/0!</v>
      </c>
      <c r="CQ26" t="e">
        <f ca="1" t="shared" si="24"/>
        <v>#DIV/0!</v>
      </c>
      <c r="CR26" t="e">
        <f ca="1" t="shared" si="112"/>
        <v>#DIV/0!</v>
      </c>
      <c r="CS26" t="e">
        <f ca="1">IF(CP26-VLOOKUP($CP$2,Input_Output!$G$2:$L$6,6,FALSE)&lt;0,0,CP26-VLOOKUP($CP$2,Input_Output!$G$2:$L$6,6,FALSE))*dt</f>
        <v>#DIV/0!</v>
      </c>
      <c r="CT26" t="e">
        <f ca="1" t="shared" si="95"/>
        <v>#DIV/0!</v>
      </c>
      <c r="CU26" t="b">
        <f t="shared" si="58"/>
        <v>0</v>
      </c>
      <c r="CV26">
        <f ca="1" t="shared" si="59"/>
        <v>0</v>
      </c>
      <c r="CW26" t="b">
        <f t="shared" si="60"/>
        <v>0</v>
      </c>
      <c r="CX26">
        <f ca="1" t="shared" si="61"/>
        <v>0</v>
      </c>
      <c r="CY26" t="b">
        <f t="shared" si="62"/>
        <v>0</v>
      </c>
      <c r="CZ26" s="11">
        <f ca="1" t="shared" si="63"/>
        <v>0</v>
      </c>
      <c r="DA26" t="e">
        <f ca="1" t="shared" si="25"/>
        <v>#DIV/0!</v>
      </c>
      <c r="DB26" t="e">
        <f ca="1" t="shared" si="26"/>
        <v>#DIV/0!</v>
      </c>
      <c r="DC26" t="e">
        <f ca="1" t="shared" si="113"/>
        <v>#DIV/0!</v>
      </c>
      <c r="DD26" t="e">
        <f ca="1">IF(DA26-VLOOKUP($DA$2,Input_Output!$G$2:$L$6,6,FALSE)&lt;0,0,DA26-VLOOKUP($DA$2,Input_Output!$G$2:$L$6,6,FALSE))*dt</f>
        <v>#DIV/0!</v>
      </c>
      <c r="DE26" t="e">
        <f ca="1" t="shared" si="97"/>
        <v>#DIV/0!</v>
      </c>
      <c r="DF26" t="b">
        <f t="shared" si="64"/>
        <v>0</v>
      </c>
      <c r="DG26">
        <f ca="1" t="shared" si="98"/>
        <v>0</v>
      </c>
      <c r="DH26" t="b">
        <f t="shared" si="65"/>
        <v>0</v>
      </c>
      <c r="DI26">
        <f ca="1" t="shared" si="99"/>
        <v>0</v>
      </c>
      <c r="DJ26" t="b">
        <f t="shared" si="66"/>
        <v>0</v>
      </c>
      <c r="DK26" s="11">
        <f ca="1" t="shared" si="100"/>
        <v>0</v>
      </c>
    </row>
    <row r="27" spans="1:115">
      <c r="A27">
        <v>25</v>
      </c>
      <c r="B27">
        <f t="shared" si="27"/>
        <v>0.625</v>
      </c>
      <c r="C27" t="e">
        <f ca="1">IF(O26&gt;P26,VLOOKUP(Calcs!C26,Input_Output!$AN$11:$AS$30,6,FALSE),C26)</f>
        <v>#DIV/0!</v>
      </c>
      <c r="D27" t="e">
        <f ca="1" t="shared" si="103"/>
        <v>#DIV/0!</v>
      </c>
      <c r="E27" t="e">
        <f ca="1">VLOOKUP(D27,Input_Output!$B$2:$E$5,2,FALSE)</f>
        <v>#DIV/0!</v>
      </c>
      <c r="F27" t="e">
        <f ca="1">VLOOKUP(D27,Input_Output!$B$2:$E$5,3,FALSE)</f>
        <v>#DIV/0!</v>
      </c>
      <c r="G27" t="e">
        <f ca="1">VLOOKUP(D27,Input_Output!$B$2:$E$5,4,FALSE)</f>
        <v>#DIV/0!</v>
      </c>
      <c r="H27" s="9">
        <f ca="1">IFERROR(IF(NOT(C27=C26),VLOOKUP(C26,Input_Output!$AN$11:$AV$30,9,FALSE)+O26+O27+(N27*dt),H26+(N27*dt)),tot_dist_end+10)</f>
        <v>4030.15025566113</v>
      </c>
      <c r="I27" s="6" t="e">
        <f ca="1" t="array" ref="I27">IF(OR(Q27=1,Q27=2),Starter_power_increment,Power_increment)+IF(OR(Q27=1,Q27=2),IF(Lap1profile="Male",laponepm(B27),laponepf(B27)),VLOOKUP(_xlfn.SINGLE(Rider_P1),Input_Output!$G$2:$P$6,(7+J27),FALSE))*Efficiency</f>
        <v>#NAME?</v>
      </c>
      <c r="J27" s="21" t="e">
        <f ca="1" t="shared" si="28"/>
        <v>#DIV/0!</v>
      </c>
      <c r="K27" t="e">
        <f ca="1" t="shared" si="104"/>
        <v>#DIV/0!</v>
      </c>
      <c r="L27" t="e">
        <f ca="1" t="shared" si="0"/>
        <v>#DIV/0!</v>
      </c>
      <c r="M27" t="e">
        <f ca="1" t="shared" si="105"/>
        <v>#DIV/0!</v>
      </c>
      <c r="N27" t="e">
        <f ca="1" t="shared" si="32"/>
        <v>#DIV/0!</v>
      </c>
      <c r="O27" s="22" t="e">
        <f ca="1" t="shared" si="33"/>
        <v>#DIV/0!</v>
      </c>
      <c r="P27" s="8" t="e">
        <f ca="1">VLOOKUP(C27,Input_Output!$AN$11:$AT$30,7,FALSE)</f>
        <v>#DIV/0!</v>
      </c>
      <c r="Q27" s="27">
        <f ca="1" t="shared" si="106"/>
        <v>16</v>
      </c>
      <c r="R27" s="6">
        <f ca="1">VLOOKUP(Q27,Input_Output!$AH$11:$AI$43,2,FALSE)</f>
        <v>2010.07512783057</v>
      </c>
      <c r="S27" s="27">
        <f ca="1" t="shared" si="107"/>
        <v>16</v>
      </c>
      <c r="T27" s="12" t="e">
        <f ca="1" t="shared" si="1"/>
        <v>#DIV/0!</v>
      </c>
      <c r="U27" s="12">
        <f ca="1" t="shared" si="2"/>
        <v>2145.70482331997</v>
      </c>
      <c r="V27" s="28">
        <f ca="1" t="shared" si="34"/>
        <v>17.0795990148749</v>
      </c>
      <c r="W27" s="8">
        <f ca="1">VLOOKUP(V27,Track_geometry_lookup!$A$3:$E$1003,2,TRUE)</f>
        <v>10000</v>
      </c>
      <c r="X27" s="12">
        <f ca="1">VLOOKUP(V27,Track_geometry_lookup!$A$3:$E$1003,3,TRUE)</f>
        <v>0.229283903834712</v>
      </c>
      <c r="Y27" s="12" t="e">
        <f ca="1">IF(Vel_whls&lt;6,0,(RADIANS(90)-(VLOOKUP(W27,Lean_angle_lookup!$A$3:$AP$244,VLOOKUP(Vel_whls,Lean_angle_lookup!$AU$3:$AV$48,2,TRUE),TRUE))))</f>
        <v>#DIV/0!</v>
      </c>
      <c r="Z27" s="6" t="e">
        <f ca="1">VLOOKUP(Rider_P1,Input_Output!$G$2:$K$6,5,FALSE)</f>
        <v>#DIV/0!</v>
      </c>
      <c r="AA27" s="8" t="e">
        <f ca="1">Static_mass_delta+VLOOKUP(Rider_P1,Input_Output!$G$2:$I$6,3,FALSE)</f>
        <v>#DIV/0!</v>
      </c>
      <c r="AB27" s="12" t="e">
        <f ca="1">P1_CDA_factor*(CDA_delta+IF(t&lt;Time_standing,VLOOKUP(Rider_P1,Input_Output!$G$2:$S$6,13,FALSE),VLOOKUP(Rider_P1,Input_Output!$G$2:$J$6,4,FALSE)))</f>
        <v>#DIV/0!</v>
      </c>
      <c r="AC27" s="12" t="e">
        <f ca="1" t="shared" si="116"/>
        <v>#DIV/0!</v>
      </c>
      <c r="AD27" s="12" t="e">
        <f ca="1" t="shared" si="117"/>
        <v>#DIV/0!</v>
      </c>
      <c r="AE27" s="12" t="e">
        <f ca="1" t="shared" si="117"/>
        <v>#DIV/0!</v>
      </c>
      <c r="AF27" s="6" t="e">
        <f ca="1" t="shared" si="114"/>
        <v>#DIV/0!</v>
      </c>
      <c r="AG27" s="8" t="e">
        <f ca="1" t="shared" si="115"/>
        <v>#DIV/0!</v>
      </c>
      <c r="AH27" s="6" t="e">
        <f ca="1" t="shared" si="5"/>
        <v>#DIV/0!</v>
      </c>
      <c r="AI27" s="9" t="e">
        <f ca="1" t="shared" si="37"/>
        <v>#DIV/0!</v>
      </c>
      <c r="AJ27" t="e">
        <f ca="1" t="shared" si="6"/>
        <v>#DIV/0!</v>
      </c>
      <c r="AK27" s="6" t="e">
        <f ca="1" t="shared" si="7"/>
        <v>#DIV/0!</v>
      </c>
      <c r="AL27" s="6" t="e">
        <f ca="1" t="shared" si="8"/>
        <v>#DIV/0!</v>
      </c>
      <c r="AM27" s="6" t="e">
        <f ca="1" t="shared" si="9"/>
        <v>#DIV/0!</v>
      </c>
      <c r="AN27" s="6" t="e">
        <f ca="1" t="shared" si="10"/>
        <v>#DIV/0!</v>
      </c>
      <c r="AO27" s="6" t="e">
        <f ca="1" t="shared" si="38"/>
        <v>#DIV/0!</v>
      </c>
      <c r="AP27" s="6" t="e">
        <f ca="1" t="shared" si="11"/>
        <v>#DIV/0!</v>
      </c>
      <c r="AQ27" s="8">
        <f ca="1" t="shared" si="39"/>
        <v>76.8629999999876</v>
      </c>
      <c r="AR27" s="6" t="e">
        <f ca="1" t="shared" si="40"/>
        <v>#DIV/0!</v>
      </c>
      <c r="AS27" s="6">
        <f ca="1">VLOOKUP(Q27,Input_Output!$A$57:$B$88,2,FALSE)</f>
        <v>0.3</v>
      </c>
      <c r="AT27" s="6" t="e">
        <f ca="1" t="shared" si="12"/>
        <v>#DIV/0!</v>
      </c>
      <c r="AU27" t="e">
        <f ca="1" t="shared" si="41"/>
        <v>#DIV/0!</v>
      </c>
      <c r="AV27" t="e">
        <f ca="1" t="shared" si="13"/>
        <v>#NAME?</v>
      </c>
      <c r="AW27" t="e">
        <f ca="1" t="shared" si="78"/>
        <v>#NAME?</v>
      </c>
      <c r="AX27" t="e">
        <f ca="1" t="shared" si="79"/>
        <v>#NAME?</v>
      </c>
      <c r="AY27" t="e">
        <f ca="1" t="shared" si="14"/>
        <v>#NAME?</v>
      </c>
      <c r="AZ27" t="e">
        <f ca="1" t="shared" si="108"/>
        <v>#DIV/0!</v>
      </c>
      <c r="BA27" t="e">
        <f ca="1" t="shared" si="109"/>
        <v>#DIV/0!</v>
      </c>
      <c r="BB27">
        <f ca="1" t="shared" si="42"/>
        <v>1000</v>
      </c>
      <c r="BC27" t="e">
        <f ca="1" t="shared" si="15"/>
        <v>#DIV/0!</v>
      </c>
      <c r="BE27" t="e">
        <f ca="1">P2_CDA_factor*(CDA_delta+IF(t&lt;Time_standing,VLOOKUP(Rider_P2,Input_Output!$G$2:$S$6,13,FALSE),VLOOKUP(Rider_P2,Input_Output!$G$2:$J$6,4,FALSE)))*0.5*rho*Vel_CoM*(Vel_CoM-Rel_airspeed)^2</f>
        <v>#DIV/0!</v>
      </c>
      <c r="BF27" t="e">
        <f ca="1">Power_RR*VLOOKUP(Rider_P2,Input_Output!$G$2:$I$6,3,FALSE)/Mass</f>
        <v>#DIV/0!</v>
      </c>
      <c r="BG27" t="e">
        <f ca="1">VLOOKUP(Rider_P2,Input_Output!$G$2:$I$6,3,FALSE)*accel*Vel_CoM</f>
        <v>#DIV/0!</v>
      </c>
      <c r="BH27" t="e">
        <f ca="1" t="shared" si="16"/>
        <v>#DIV/0!</v>
      </c>
      <c r="BI27" t="e">
        <f ca="1" t="shared" si="43"/>
        <v>#DIV/0!</v>
      </c>
      <c r="BJ27" t="e">
        <f ca="1">P3_CDA_factor*(CDA_delta+IF(t&lt;Time_standing,VLOOKUP(Rider_P3,Input_Output!$G$2:$S$6,13,FALSE),VLOOKUP(Rider_P3,Input_Output!$G$2:$J$6,4,FALSE)))*0.5*rho*Vel_CoM*(Vel_CoM-Rel_airspeed)^2</f>
        <v>#DIV/0!</v>
      </c>
      <c r="BK27" t="e">
        <f ca="1">Power_RR*VLOOKUP(Rider_P3,Input_Output!$G$2:$I$6,3,FALSE)/Mass</f>
        <v>#DIV/0!</v>
      </c>
      <c r="BL27" t="e">
        <f ca="1">VLOOKUP(Rider_P3,Input_Output!$G$2:$I$6,3,FALSE)*accel*Vel_CoM</f>
        <v>#DIV/0!</v>
      </c>
      <c r="BM27" t="e">
        <f ca="1" t="shared" si="17"/>
        <v>#DIV/0!</v>
      </c>
      <c r="BN27" t="e">
        <f ca="1" t="shared" si="44"/>
        <v>#DIV/0!</v>
      </c>
      <c r="BO27" t="e">
        <f ca="1">P4_CDA_factor*(CDA_delta+IF(t&lt;Time_standing,VLOOKUP(Rider_P4,Input_Output!$G$2:$S$6,13,FALSE),VLOOKUP(Rider_P4,Input_Output!$G$2:$J$6,4,FALSE)))*0.5*rho*Vel_CoM*(Vel_CoM-Rel_airspeed)^2</f>
        <v>#DIV/0!</v>
      </c>
      <c r="BP27" t="e">
        <f ca="1">Power_RR*VLOOKUP(Rider_P4,Input_Output!$G$2:$I$6,3,FALSE)/Mass</f>
        <v>#DIV/0!</v>
      </c>
      <c r="BQ27" t="e">
        <f ca="1">VLOOKUP(Rider_P4,Input_Output!$G$2:$I$6,3,FALSE)*accel*Vel_CoM</f>
        <v>#DIV/0!</v>
      </c>
      <c r="BR27" t="e">
        <f ca="1" t="shared" si="18"/>
        <v>#DIV/0!</v>
      </c>
      <c r="BS27" t="e">
        <f ca="1" t="shared" si="45"/>
        <v>#DIV/0!</v>
      </c>
      <c r="BT27" s="10" t="e">
        <f ca="1" t="shared" si="19"/>
        <v>#DIV/0!</v>
      </c>
      <c r="BU27" t="e">
        <f ca="1" t="shared" si="20"/>
        <v>#DIV/0!</v>
      </c>
      <c r="BV27" t="e">
        <f ca="1" t="shared" si="110"/>
        <v>#DIV/0!</v>
      </c>
      <c r="BW27" t="e">
        <f ca="1">IF(BT27-VLOOKUP($BT$2,Input_Output!$G$2:$L$6,6,FALSE)&lt;0,0,BT27-VLOOKUP($BT$2,Input_Output!$G$2:$L$6,6,FALSE))*dt</f>
        <v>#DIV/0!</v>
      </c>
      <c r="BX27" t="e">
        <f ca="1" t="shared" si="91"/>
        <v>#DIV/0!</v>
      </c>
      <c r="BY27" t="b">
        <f t="shared" si="46"/>
        <v>0</v>
      </c>
      <c r="BZ27">
        <f ca="1" t="shared" si="47"/>
        <v>0</v>
      </c>
      <c r="CA27" t="b">
        <f t="shared" si="48"/>
        <v>0</v>
      </c>
      <c r="CB27">
        <f ca="1" t="shared" si="49"/>
        <v>0</v>
      </c>
      <c r="CC27" t="b">
        <f t="shared" si="50"/>
        <v>0</v>
      </c>
      <c r="CD27" s="11">
        <f ca="1" t="shared" si="51"/>
        <v>0</v>
      </c>
      <c r="CE27" t="e">
        <f ca="1" t="shared" si="21"/>
        <v>#DIV/0!</v>
      </c>
      <c r="CF27" t="e">
        <f ca="1" t="shared" si="22"/>
        <v>#DIV/0!</v>
      </c>
      <c r="CG27" t="e">
        <f ca="1" t="shared" si="111"/>
        <v>#DIV/0!</v>
      </c>
      <c r="CH27" t="e">
        <f ca="1">IF(CE27-VLOOKUP($CE$2,Input_Output!$G$2:$L$6,6,FALSE)&lt;0,0,CE27-VLOOKUP($CE$2,Input_Output!$G$2:$L$6,6,FALSE))*dt</f>
        <v>#DIV/0!</v>
      </c>
      <c r="CI27" t="e">
        <f ca="1" t="shared" si="93"/>
        <v>#DIV/0!</v>
      </c>
      <c r="CJ27" t="b">
        <f t="shared" si="52"/>
        <v>0</v>
      </c>
      <c r="CK27">
        <f ca="1" t="shared" si="53"/>
        <v>0</v>
      </c>
      <c r="CL27" t="b">
        <f t="shared" si="54"/>
        <v>0</v>
      </c>
      <c r="CM27">
        <f ca="1" t="shared" si="55"/>
        <v>0</v>
      </c>
      <c r="CN27" t="b">
        <f t="shared" si="56"/>
        <v>0</v>
      </c>
      <c r="CO27" s="11">
        <f ca="1" t="shared" si="57"/>
        <v>0</v>
      </c>
      <c r="CP27" t="e">
        <f ca="1" t="shared" si="23"/>
        <v>#DIV/0!</v>
      </c>
      <c r="CQ27" t="e">
        <f ca="1" t="shared" si="24"/>
        <v>#DIV/0!</v>
      </c>
      <c r="CR27" t="e">
        <f ca="1" t="shared" si="112"/>
        <v>#DIV/0!</v>
      </c>
      <c r="CS27" t="e">
        <f ca="1">IF(CP27-VLOOKUP($CP$2,Input_Output!$G$2:$L$6,6,FALSE)&lt;0,0,CP27-VLOOKUP($CP$2,Input_Output!$G$2:$L$6,6,FALSE))*dt</f>
        <v>#DIV/0!</v>
      </c>
      <c r="CT27" t="e">
        <f ca="1" t="shared" si="95"/>
        <v>#DIV/0!</v>
      </c>
      <c r="CU27" t="b">
        <f t="shared" si="58"/>
        <v>0</v>
      </c>
      <c r="CV27">
        <f ca="1" t="shared" si="59"/>
        <v>0</v>
      </c>
      <c r="CW27" t="b">
        <f t="shared" si="60"/>
        <v>0</v>
      </c>
      <c r="CX27">
        <f ca="1" t="shared" si="61"/>
        <v>0</v>
      </c>
      <c r="CY27" t="b">
        <f t="shared" si="62"/>
        <v>0</v>
      </c>
      <c r="CZ27" s="11">
        <f ca="1" t="shared" si="63"/>
        <v>0</v>
      </c>
      <c r="DA27" t="e">
        <f ca="1" t="shared" si="25"/>
        <v>#DIV/0!</v>
      </c>
      <c r="DB27" t="e">
        <f ca="1" t="shared" si="26"/>
        <v>#DIV/0!</v>
      </c>
      <c r="DC27" t="e">
        <f ca="1" t="shared" si="113"/>
        <v>#DIV/0!</v>
      </c>
      <c r="DD27" t="e">
        <f ca="1">IF(DA27-VLOOKUP($DA$2,Input_Output!$G$2:$L$6,6,FALSE)&lt;0,0,DA27-VLOOKUP($DA$2,Input_Output!$G$2:$L$6,6,FALSE))*dt</f>
        <v>#DIV/0!</v>
      </c>
      <c r="DE27" t="e">
        <f ca="1" t="shared" si="97"/>
        <v>#DIV/0!</v>
      </c>
      <c r="DF27" t="b">
        <f t="shared" si="64"/>
        <v>0</v>
      </c>
      <c r="DG27">
        <f ca="1" t="shared" si="98"/>
        <v>0</v>
      </c>
      <c r="DH27" t="b">
        <f t="shared" si="65"/>
        <v>0</v>
      </c>
      <c r="DI27">
        <f ca="1" t="shared" si="99"/>
        <v>0</v>
      </c>
      <c r="DJ27" t="b">
        <f t="shared" si="66"/>
        <v>0</v>
      </c>
      <c r="DK27" s="11">
        <f ca="1" t="shared" si="100"/>
        <v>0</v>
      </c>
    </row>
    <row r="28" spans="1:115">
      <c r="A28">
        <v>26</v>
      </c>
      <c r="B28">
        <f t="shared" si="27"/>
        <v>0.65</v>
      </c>
      <c r="C28" t="e">
        <f ca="1">IF(O27&gt;P27,VLOOKUP(Calcs!C27,Input_Output!$AN$11:$AS$30,6,FALSE),C27)</f>
        <v>#DIV/0!</v>
      </c>
      <c r="D28" t="e">
        <f ca="1" t="shared" si="103"/>
        <v>#DIV/0!</v>
      </c>
      <c r="E28" t="e">
        <f ca="1">VLOOKUP(D28,Input_Output!$B$2:$E$5,2,FALSE)</f>
        <v>#DIV/0!</v>
      </c>
      <c r="F28" t="e">
        <f ca="1">VLOOKUP(D28,Input_Output!$B$2:$E$5,3,FALSE)</f>
        <v>#DIV/0!</v>
      </c>
      <c r="G28" t="e">
        <f ca="1">VLOOKUP(D28,Input_Output!$B$2:$E$5,4,FALSE)</f>
        <v>#DIV/0!</v>
      </c>
      <c r="H28" s="9">
        <f ca="1">IFERROR(IF(NOT(C28=C27),VLOOKUP(C27,Input_Output!$AN$11:$AV$30,9,FALSE)+O27+O28+(N28*dt),H27+(N28*dt)),tot_dist_end+10)</f>
        <v>4030.15025566113</v>
      </c>
      <c r="I28" s="6" t="e">
        <f ca="1" t="array" ref="I28">IF(OR(Q28=1,Q28=2),Starter_power_increment,Power_increment)+IF(OR(Q28=1,Q28=2),IF(Lap1profile="Male",laponepm(B28),laponepf(B28)),VLOOKUP(_xlfn.SINGLE(Rider_P1),Input_Output!$G$2:$P$6,(7+J28),FALSE))*Efficiency</f>
        <v>#NAME?</v>
      </c>
      <c r="J28" s="21" t="e">
        <f ca="1" t="shared" si="28"/>
        <v>#DIV/0!</v>
      </c>
      <c r="K28" t="e">
        <f ca="1" t="shared" si="104"/>
        <v>#DIV/0!</v>
      </c>
      <c r="L28" t="e">
        <f ca="1" t="shared" si="0"/>
        <v>#DIV/0!</v>
      </c>
      <c r="M28" t="e">
        <f ca="1" t="shared" si="105"/>
        <v>#DIV/0!</v>
      </c>
      <c r="N28" t="e">
        <f ca="1" t="shared" si="32"/>
        <v>#DIV/0!</v>
      </c>
      <c r="O28" s="22" t="e">
        <f ca="1" t="shared" si="33"/>
        <v>#DIV/0!</v>
      </c>
      <c r="P28" s="8" t="e">
        <f ca="1">VLOOKUP(C28,Input_Output!$AN$11:$AT$30,7,FALSE)</f>
        <v>#DIV/0!</v>
      </c>
      <c r="Q28" s="27">
        <f ca="1" t="shared" si="106"/>
        <v>17</v>
      </c>
      <c r="R28" s="6">
        <f ca="1">VLOOKUP(Q28,Input_Output!$AH$11:$AI$43,2,FALSE)</f>
        <v>2135.70482331998</v>
      </c>
      <c r="S28" s="27">
        <f ca="1" t="shared" si="107"/>
        <v>17</v>
      </c>
      <c r="T28" s="12" t="e">
        <f ca="1" t="shared" si="1"/>
        <v>#DIV/0!</v>
      </c>
      <c r="U28" s="12">
        <f ca="1" t="shared" si="2"/>
        <v>2020.07512783056</v>
      </c>
      <c r="V28" s="28">
        <f ca="1" t="shared" si="34"/>
        <v>16.0795990148749</v>
      </c>
      <c r="W28" s="8">
        <f ca="1">VLOOKUP(V28,Track_geometry_lookup!$A$3:$E$1003,2,TRUE)</f>
        <v>10000</v>
      </c>
      <c r="X28" s="12">
        <f ca="1">VLOOKUP(V28,Track_geometry_lookup!$A$3:$E$1003,3,TRUE)</f>
        <v>0.229283903834712</v>
      </c>
      <c r="Y28" s="12" t="e">
        <f ca="1">IF(Vel_whls&lt;6,0,(RADIANS(90)-(VLOOKUP(W28,Lean_angle_lookup!$A$3:$AP$244,VLOOKUP(Vel_whls,Lean_angle_lookup!$AU$3:$AV$48,2,TRUE),TRUE))))</f>
        <v>#DIV/0!</v>
      </c>
      <c r="Z28" s="6" t="e">
        <f ca="1">VLOOKUP(Rider_P1,Input_Output!$G$2:$K$6,5,FALSE)</f>
        <v>#DIV/0!</v>
      </c>
      <c r="AA28" s="8" t="e">
        <f ca="1">Static_mass_delta+VLOOKUP(Rider_P1,Input_Output!$G$2:$I$6,3,FALSE)</f>
        <v>#DIV/0!</v>
      </c>
      <c r="AB28" s="12" t="e">
        <f ca="1">P1_CDA_factor*(CDA_delta+IF(t&lt;Time_standing,VLOOKUP(Rider_P1,Input_Output!$G$2:$S$6,13,FALSE),VLOOKUP(Rider_P1,Input_Output!$G$2:$J$6,4,FALSE)))</f>
        <v>#DIV/0!</v>
      </c>
      <c r="AC28" s="12" t="e">
        <f ca="1" t="shared" si="116"/>
        <v>#DIV/0!</v>
      </c>
      <c r="AD28" s="12" t="e">
        <f ca="1" t="shared" si="117"/>
        <v>#DIV/0!</v>
      </c>
      <c r="AE28" s="12" t="e">
        <f ca="1" t="shared" si="117"/>
        <v>#DIV/0!</v>
      </c>
      <c r="AF28" s="6" t="e">
        <f ca="1" t="shared" si="114"/>
        <v>#DIV/0!</v>
      </c>
      <c r="AG28" s="8" t="e">
        <f ca="1" t="shared" si="115"/>
        <v>#DIV/0!</v>
      </c>
      <c r="AH28" s="6" t="e">
        <f ca="1" t="shared" si="5"/>
        <v>#DIV/0!</v>
      </c>
      <c r="AI28" s="9" t="e">
        <f ca="1" t="shared" si="37"/>
        <v>#DIV/0!</v>
      </c>
      <c r="AJ28" t="e">
        <f ca="1" t="shared" si="6"/>
        <v>#DIV/0!</v>
      </c>
      <c r="AK28" s="6" t="e">
        <f ca="1" t="shared" si="7"/>
        <v>#DIV/0!</v>
      </c>
      <c r="AL28" s="6" t="e">
        <f ca="1" t="shared" si="8"/>
        <v>#DIV/0!</v>
      </c>
      <c r="AM28" s="6" t="e">
        <f ca="1" t="shared" si="9"/>
        <v>#DIV/0!</v>
      </c>
      <c r="AN28" s="6" t="e">
        <f ca="1" t="shared" si="10"/>
        <v>#DIV/0!</v>
      </c>
      <c r="AO28" s="6" t="e">
        <f ca="1" t="shared" si="38"/>
        <v>#DIV/0!</v>
      </c>
      <c r="AP28" s="6" t="e">
        <f ca="1" t="shared" si="11"/>
        <v>#DIV/0!</v>
      </c>
      <c r="AQ28" s="8">
        <f ca="1" t="shared" si="39"/>
        <v>76.8629999999876</v>
      </c>
      <c r="AR28" s="6" t="e">
        <f ca="1" t="shared" si="40"/>
        <v>#DIV/0!</v>
      </c>
      <c r="AS28" s="6">
        <f ca="1">VLOOKUP(Q28,Input_Output!$A$57:$B$88,2,FALSE)</f>
        <v>0.3</v>
      </c>
      <c r="AT28" s="6" t="e">
        <f ca="1" t="shared" si="12"/>
        <v>#DIV/0!</v>
      </c>
      <c r="AU28" t="e">
        <f ca="1" t="shared" si="41"/>
        <v>#DIV/0!</v>
      </c>
      <c r="AV28" t="e">
        <f ca="1" t="shared" si="13"/>
        <v>#NAME?</v>
      </c>
      <c r="AW28" t="e">
        <f ca="1" t="shared" si="78"/>
        <v>#NAME?</v>
      </c>
      <c r="AX28" t="e">
        <f ca="1" t="shared" si="79"/>
        <v>#NAME?</v>
      </c>
      <c r="AY28" t="e">
        <f ca="1" t="shared" si="14"/>
        <v>#NAME?</v>
      </c>
      <c r="AZ28" t="e">
        <f ca="1" t="shared" si="108"/>
        <v>#DIV/0!</v>
      </c>
      <c r="BA28" t="e">
        <f ca="1" t="shared" si="109"/>
        <v>#DIV/0!</v>
      </c>
      <c r="BB28">
        <f ca="1" t="shared" si="42"/>
        <v>1000</v>
      </c>
      <c r="BC28" t="e">
        <f ca="1" t="shared" si="15"/>
        <v>#DIV/0!</v>
      </c>
      <c r="BE28" t="e">
        <f ca="1">P2_CDA_factor*(CDA_delta+IF(t&lt;Time_standing,VLOOKUP(Rider_P2,Input_Output!$G$2:$S$6,13,FALSE),VLOOKUP(Rider_P2,Input_Output!$G$2:$J$6,4,FALSE)))*0.5*rho*Vel_CoM*(Vel_CoM-Rel_airspeed)^2</f>
        <v>#DIV/0!</v>
      </c>
      <c r="BF28" t="e">
        <f ca="1">Power_RR*VLOOKUP(Rider_P2,Input_Output!$G$2:$I$6,3,FALSE)/Mass</f>
        <v>#DIV/0!</v>
      </c>
      <c r="BG28" t="e">
        <f ca="1">VLOOKUP(Rider_P2,Input_Output!$G$2:$I$6,3,FALSE)*accel*Vel_CoM</f>
        <v>#DIV/0!</v>
      </c>
      <c r="BH28" t="e">
        <f ca="1" t="shared" si="16"/>
        <v>#DIV/0!</v>
      </c>
      <c r="BI28" t="e">
        <f ca="1" t="shared" si="43"/>
        <v>#DIV/0!</v>
      </c>
      <c r="BJ28" t="e">
        <f ca="1">P3_CDA_factor*(CDA_delta+IF(t&lt;Time_standing,VLOOKUP(Rider_P3,Input_Output!$G$2:$S$6,13,FALSE),VLOOKUP(Rider_P3,Input_Output!$G$2:$J$6,4,FALSE)))*0.5*rho*Vel_CoM*(Vel_CoM-Rel_airspeed)^2</f>
        <v>#DIV/0!</v>
      </c>
      <c r="BK28" t="e">
        <f ca="1">Power_RR*VLOOKUP(Rider_P3,Input_Output!$G$2:$I$6,3,FALSE)/Mass</f>
        <v>#DIV/0!</v>
      </c>
      <c r="BL28" t="e">
        <f ca="1">VLOOKUP(Rider_P3,Input_Output!$G$2:$I$6,3,FALSE)*accel*Vel_CoM</f>
        <v>#DIV/0!</v>
      </c>
      <c r="BM28" t="e">
        <f ca="1" t="shared" si="17"/>
        <v>#DIV/0!</v>
      </c>
      <c r="BN28" t="e">
        <f ca="1" t="shared" si="44"/>
        <v>#DIV/0!</v>
      </c>
      <c r="BO28" t="e">
        <f ca="1">P4_CDA_factor*(CDA_delta+IF(t&lt;Time_standing,VLOOKUP(Rider_P4,Input_Output!$G$2:$S$6,13,FALSE),VLOOKUP(Rider_P4,Input_Output!$G$2:$J$6,4,FALSE)))*0.5*rho*Vel_CoM*(Vel_CoM-Rel_airspeed)^2</f>
        <v>#DIV/0!</v>
      </c>
      <c r="BP28" t="e">
        <f ca="1">Power_RR*VLOOKUP(Rider_P4,Input_Output!$G$2:$I$6,3,FALSE)/Mass</f>
        <v>#DIV/0!</v>
      </c>
      <c r="BQ28" t="e">
        <f ca="1">VLOOKUP(Rider_P4,Input_Output!$G$2:$I$6,3,FALSE)*accel*Vel_CoM</f>
        <v>#DIV/0!</v>
      </c>
      <c r="BR28" t="e">
        <f ca="1" t="shared" si="18"/>
        <v>#DIV/0!</v>
      </c>
      <c r="BS28" t="e">
        <f ca="1" t="shared" si="45"/>
        <v>#DIV/0!</v>
      </c>
      <c r="BT28" s="10" t="e">
        <f ca="1" t="shared" si="19"/>
        <v>#DIV/0!</v>
      </c>
      <c r="BU28" t="e">
        <f ca="1" t="shared" si="20"/>
        <v>#DIV/0!</v>
      </c>
      <c r="BV28" t="e">
        <f ca="1" t="shared" si="110"/>
        <v>#DIV/0!</v>
      </c>
      <c r="BW28" t="e">
        <f ca="1">IF(BT28-VLOOKUP($BT$2,Input_Output!$G$2:$L$6,6,FALSE)&lt;0,0,BT28-VLOOKUP($BT$2,Input_Output!$G$2:$L$6,6,FALSE))*dt</f>
        <v>#DIV/0!</v>
      </c>
      <c r="BX28" t="e">
        <f ca="1" t="shared" si="91"/>
        <v>#DIV/0!</v>
      </c>
      <c r="BY28" t="b">
        <f t="shared" si="46"/>
        <v>0</v>
      </c>
      <c r="BZ28">
        <f ca="1" t="shared" si="47"/>
        <v>0</v>
      </c>
      <c r="CA28" t="b">
        <f t="shared" si="48"/>
        <v>0</v>
      </c>
      <c r="CB28">
        <f ca="1" t="shared" si="49"/>
        <v>0</v>
      </c>
      <c r="CC28" t="b">
        <f t="shared" si="50"/>
        <v>0</v>
      </c>
      <c r="CD28" s="11">
        <f ca="1" t="shared" si="51"/>
        <v>0</v>
      </c>
      <c r="CE28" t="e">
        <f ca="1" t="shared" si="21"/>
        <v>#DIV/0!</v>
      </c>
      <c r="CF28" t="e">
        <f ca="1" t="shared" si="22"/>
        <v>#DIV/0!</v>
      </c>
      <c r="CG28" t="e">
        <f ca="1" t="shared" si="111"/>
        <v>#DIV/0!</v>
      </c>
      <c r="CH28" t="e">
        <f ca="1">IF(CE28-VLOOKUP($CE$2,Input_Output!$G$2:$L$6,6,FALSE)&lt;0,0,CE28-VLOOKUP($CE$2,Input_Output!$G$2:$L$6,6,FALSE))*dt</f>
        <v>#DIV/0!</v>
      </c>
      <c r="CI28" t="e">
        <f ca="1" t="shared" si="93"/>
        <v>#DIV/0!</v>
      </c>
      <c r="CJ28" t="b">
        <f t="shared" si="52"/>
        <v>0</v>
      </c>
      <c r="CK28">
        <f ca="1" t="shared" si="53"/>
        <v>0</v>
      </c>
      <c r="CL28" t="b">
        <f t="shared" si="54"/>
        <v>0</v>
      </c>
      <c r="CM28">
        <f ca="1" t="shared" si="55"/>
        <v>0</v>
      </c>
      <c r="CN28" t="b">
        <f t="shared" si="56"/>
        <v>0</v>
      </c>
      <c r="CO28" s="11">
        <f ca="1" t="shared" si="57"/>
        <v>0</v>
      </c>
      <c r="CP28" t="e">
        <f ca="1" t="shared" si="23"/>
        <v>#DIV/0!</v>
      </c>
      <c r="CQ28" t="e">
        <f ca="1" t="shared" si="24"/>
        <v>#DIV/0!</v>
      </c>
      <c r="CR28" t="e">
        <f ca="1" t="shared" si="112"/>
        <v>#DIV/0!</v>
      </c>
      <c r="CS28" t="e">
        <f ca="1">IF(CP28-VLOOKUP($CP$2,Input_Output!$G$2:$L$6,6,FALSE)&lt;0,0,CP28-VLOOKUP($CP$2,Input_Output!$G$2:$L$6,6,FALSE))*dt</f>
        <v>#DIV/0!</v>
      </c>
      <c r="CT28" t="e">
        <f ca="1" t="shared" si="95"/>
        <v>#DIV/0!</v>
      </c>
      <c r="CU28" t="b">
        <f t="shared" si="58"/>
        <v>0</v>
      </c>
      <c r="CV28">
        <f ca="1" t="shared" si="59"/>
        <v>0</v>
      </c>
      <c r="CW28" t="b">
        <f t="shared" si="60"/>
        <v>0</v>
      </c>
      <c r="CX28">
        <f ca="1" t="shared" si="61"/>
        <v>0</v>
      </c>
      <c r="CY28" t="b">
        <f t="shared" si="62"/>
        <v>0</v>
      </c>
      <c r="CZ28" s="11">
        <f ca="1" t="shared" si="63"/>
        <v>0</v>
      </c>
      <c r="DA28" t="e">
        <f ca="1" t="shared" si="25"/>
        <v>#DIV/0!</v>
      </c>
      <c r="DB28" t="e">
        <f ca="1" t="shared" si="26"/>
        <v>#DIV/0!</v>
      </c>
      <c r="DC28" t="e">
        <f ca="1" t="shared" si="113"/>
        <v>#DIV/0!</v>
      </c>
      <c r="DD28" t="e">
        <f ca="1">IF(DA28-VLOOKUP($DA$2,Input_Output!$G$2:$L$6,6,FALSE)&lt;0,0,DA28-VLOOKUP($DA$2,Input_Output!$G$2:$L$6,6,FALSE))*dt</f>
        <v>#DIV/0!</v>
      </c>
      <c r="DE28" t="e">
        <f ca="1" t="shared" si="97"/>
        <v>#DIV/0!</v>
      </c>
      <c r="DF28" t="b">
        <f t="shared" si="64"/>
        <v>0</v>
      </c>
      <c r="DG28">
        <f ca="1" t="shared" si="98"/>
        <v>0</v>
      </c>
      <c r="DH28" t="b">
        <f t="shared" si="65"/>
        <v>0</v>
      </c>
      <c r="DI28">
        <f ca="1" t="shared" si="99"/>
        <v>0</v>
      </c>
      <c r="DJ28" t="b">
        <f t="shared" si="66"/>
        <v>0</v>
      </c>
      <c r="DK28" s="11">
        <f ca="1" t="shared" si="100"/>
        <v>0</v>
      </c>
    </row>
    <row r="29" spans="1:115">
      <c r="A29">
        <v>27</v>
      </c>
      <c r="B29">
        <f t="shared" si="27"/>
        <v>0.675</v>
      </c>
      <c r="C29" t="e">
        <f ca="1">IF(O28&gt;P28,VLOOKUP(Calcs!C28,Input_Output!$AN$11:$AS$30,6,FALSE),C28)</f>
        <v>#DIV/0!</v>
      </c>
      <c r="D29" t="e">
        <f ca="1" t="shared" si="103"/>
        <v>#DIV/0!</v>
      </c>
      <c r="E29" t="e">
        <f ca="1">VLOOKUP(D29,Input_Output!$B$2:$E$5,2,FALSE)</f>
        <v>#DIV/0!</v>
      </c>
      <c r="F29" t="e">
        <f ca="1">VLOOKUP(D29,Input_Output!$B$2:$E$5,3,FALSE)</f>
        <v>#DIV/0!</v>
      </c>
      <c r="G29" t="e">
        <f ca="1">VLOOKUP(D29,Input_Output!$B$2:$E$5,4,FALSE)</f>
        <v>#DIV/0!</v>
      </c>
      <c r="H29" s="9">
        <f ca="1">IFERROR(IF(NOT(C29=C28),VLOOKUP(C28,Input_Output!$AN$11:$AV$30,9,FALSE)+O28+O29+(N29*dt),H28+(N29*dt)),tot_dist_end+10)</f>
        <v>4030.15025566113</v>
      </c>
      <c r="I29" s="6" t="e">
        <f ca="1" t="array" ref="I29">IF(OR(Q29=1,Q29=2),Starter_power_increment,Power_increment)+IF(OR(Q29=1,Q29=2),IF(Lap1profile="Male",laponepm(B29),laponepf(B29)),VLOOKUP(_xlfn.SINGLE(Rider_P1),Input_Output!$G$2:$P$6,(7+J29),FALSE))*Efficiency</f>
        <v>#NAME?</v>
      </c>
      <c r="J29" s="21" t="e">
        <f ca="1" t="shared" si="28"/>
        <v>#DIV/0!</v>
      </c>
      <c r="K29" t="e">
        <f ca="1" t="shared" si="104"/>
        <v>#DIV/0!</v>
      </c>
      <c r="L29" t="e">
        <f ca="1" t="shared" si="0"/>
        <v>#DIV/0!</v>
      </c>
      <c r="M29" t="e">
        <f ca="1" t="shared" si="105"/>
        <v>#DIV/0!</v>
      </c>
      <c r="N29" t="e">
        <f ca="1" t="shared" si="32"/>
        <v>#DIV/0!</v>
      </c>
      <c r="O29" s="22" t="e">
        <f ca="1" t="shared" si="33"/>
        <v>#DIV/0!</v>
      </c>
      <c r="P29" s="8" t="e">
        <f ca="1">VLOOKUP(C29,Input_Output!$AN$11:$AT$30,7,FALSE)</f>
        <v>#DIV/0!</v>
      </c>
      <c r="Q29" s="27">
        <f ca="1" t="shared" si="106"/>
        <v>18</v>
      </c>
      <c r="R29" s="6">
        <f ca="1">VLOOKUP(Q29,Input_Output!$AH$11:$AI$43,2,FALSE)</f>
        <v>2261.33451880939</v>
      </c>
      <c r="S29" s="27">
        <f ca="1" t="shared" si="107"/>
        <v>18</v>
      </c>
      <c r="T29" s="12" t="e">
        <f ca="1" t="shared" si="1"/>
        <v>#DIV/0!</v>
      </c>
      <c r="U29" s="12">
        <f ca="1" t="shared" si="2"/>
        <v>1894.44543234115</v>
      </c>
      <c r="V29" s="28">
        <f ca="1" t="shared" si="34"/>
        <v>15.0795990148749</v>
      </c>
      <c r="W29" s="8">
        <f ca="1">VLOOKUP(V29,Track_geometry_lookup!$A$3:$E$1003,2,TRUE)</f>
        <v>10000</v>
      </c>
      <c r="X29" s="12">
        <f ca="1">VLOOKUP(V29,Track_geometry_lookup!$A$3:$E$1003,3,TRUE)</f>
        <v>0.229283903834712</v>
      </c>
      <c r="Y29" s="12" t="e">
        <f ca="1">IF(Vel_whls&lt;6,0,(RADIANS(90)-(VLOOKUP(W29,Lean_angle_lookup!$A$3:$AP$244,VLOOKUP(Vel_whls,Lean_angle_lookup!$AU$3:$AV$48,2,TRUE),TRUE))))</f>
        <v>#DIV/0!</v>
      </c>
      <c r="Z29" s="6" t="e">
        <f ca="1">VLOOKUP(Rider_P1,Input_Output!$G$2:$K$6,5,FALSE)</f>
        <v>#DIV/0!</v>
      </c>
      <c r="AA29" s="8" t="e">
        <f ca="1">Static_mass_delta+VLOOKUP(Rider_P1,Input_Output!$G$2:$I$6,3,FALSE)</f>
        <v>#DIV/0!</v>
      </c>
      <c r="AB29" s="12" t="e">
        <f ca="1">P1_CDA_factor*(CDA_delta+IF(t&lt;Time_standing,VLOOKUP(Rider_P1,Input_Output!$G$2:$S$6,13,FALSE),VLOOKUP(Rider_P1,Input_Output!$G$2:$J$6,4,FALSE)))</f>
        <v>#DIV/0!</v>
      </c>
      <c r="AC29" s="12" t="e">
        <f ca="1" t="shared" si="116"/>
        <v>#DIV/0!</v>
      </c>
      <c r="AD29" s="12" t="e">
        <f ca="1" t="shared" si="117"/>
        <v>#DIV/0!</v>
      </c>
      <c r="AE29" s="12" t="e">
        <f ca="1" t="shared" si="117"/>
        <v>#DIV/0!</v>
      </c>
      <c r="AF29" s="6" t="e">
        <f ca="1" t="shared" si="114"/>
        <v>#DIV/0!</v>
      </c>
      <c r="AG29" s="8" t="e">
        <f ca="1" t="shared" si="115"/>
        <v>#DIV/0!</v>
      </c>
      <c r="AH29" s="6" t="e">
        <f ca="1" t="shared" si="5"/>
        <v>#DIV/0!</v>
      </c>
      <c r="AI29" s="9" t="e">
        <f ca="1" t="shared" si="37"/>
        <v>#DIV/0!</v>
      </c>
      <c r="AJ29" t="e">
        <f ca="1" t="shared" si="6"/>
        <v>#DIV/0!</v>
      </c>
      <c r="AK29" s="6" t="e">
        <f ca="1" t="shared" si="7"/>
        <v>#DIV/0!</v>
      </c>
      <c r="AL29" s="6" t="e">
        <f ca="1" t="shared" si="8"/>
        <v>#DIV/0!</v>
      </c>
      <c r="AM29" s="6" t="e">
        <f ca="1" t="shared" si="9"/>
        <v>#DIV/0!</v>
      </c>
      <c r="AN29" s="6" t="e">
        <f ca="1" t="shared" si="10"/>
        <v>#DIV/0!</v>
      </c>
      <c r="AO29" s="6" t="e">
        <f ca="1" t="shared" si="38"/>
        <v>#DIV/0!</v>
      </c>
      <c r="AP29" s="6" t="e">
        <f ca="1" t="shared" si="11"/>
        <v>#DIV/0!</v>
      </c>
      <c r="AQ29" s="8">
        <f ca="1" t="shared" si="39"/>
        <v>76.8629999999876</v>
      </c>
      <c r="AR29" s="6" t="e">
        <f ca="1" t="shared" si="40"/>
        <v>#DIV/0!</v>
      </c>
      <c r="AS29" s="6">
        <f ca="1">VLOOKUP(Q29,Input_Output!$A$57:$B$88,2,FALSE)</f>
        <v>0.3</v>
      </c>
      <c r="AT29" s="6" t="e">
        <f ca="1" t="shared" si="12"/>
        <v>#DIV/0!</v>
      </c>
      <c r="AU29" t="e">
        <f ca="1" t="shared" si="41"/>
        <v>#DIV/0!</v>
      </c>
      <c r="AV29" t="e">
        <f ca="1" t="shared" si="13"/>
        <v>#NAME?</v>
      </c>
      <c r="AW29" t="e">
        <f ca="1" t="shared" si="78"/>
        <v>#NAME?</v>
      </c>
      <c r="AX29" t="e">
        <f ca="1" t="shared" si="79"/>
        <v>#NAME?</v>
      </c>
      <c r="AY29" t="e">
        <f ca="1" t="shared" si="14"/>
        <v>#NAME?</v>
      </c>
      <c r="AZ29" t="e">
        <f ca="1" t="shared" si="108"/>
        <v>#DIV/0!</v>
      </c>
      <c r="BA29" t="e">
        <f ca="1" t="shared" si="109"/>
        <v>#DIV/0!</v>
      </c>
      <c r="BB29">
        <f ca="1" t="shared" si="42"/>
        <v>1000</v>
      </c>
      <c r="BC29" t="e">
        <f ca="1" t="shared" si="15"/>
        <v>#DIV/0!</v>
      </c>
      <c r="BE29" t="e">
        <f ca="1">P2_CDA_factor*(CDA_delta+IF(t&lt;Time_standing,VLOOKUP(Rider_P2,Input_Output!$G$2:$S$6,13,FALSE),VLOOKUP(Rider_P2,Input_Output!$G$2:$J$6,4,FALSE)))*0.5*rho*Vel_CoM*(Vel_CoM-Rel_airspeed)^2</f>
        <v>#DIV/0!</v>
      </c>
      <c r="BF29" t="e">
        <f ca="1">Power_RR*VLOOKUP(Rider_P2,Input_Output!$G$2:$I$6,3,FALSE)/Mass</f>
        <v>#DIV/0!</v>
      </c>
      <c r="BG29" t="e">
        <f ca="1">VLOOKUP(Rider_P2,Input_Output!$G$2:$I$6,3,FALSE)*accel*Vel_CoM</f>
        <v>#DIV/0!</v>
      </c>
      <c r="BH29" t="e">
        <f ca="1" t="shared" si="16"/>
        <v>#DIV/0!</v>
      </c>
      <c r="BI29" t="e">
        <f ca="1" t="shared" si="43"/>
        <v>#DIV/0!</v>
      </c>
      <c r="BJ29" t="e">
        <f ca="1">P3_CDA_factor*(CDA_delta+IF(t&lt;Time_standing,VLOOKUP(Rider_P3,Input_Output!$G$2:$S$6,13,FALSE),VLOOKUP(Rider_P3,Input_Output!$G$2:$J$6,4,FALSE)))*0.5*rho*Vel_CoM*(Vel_CoM-Rel_airspeed)^2</f>
        <v>#DIV/0!</v>
      </c>
      <c r="BK29" t="e">
        <f ca="1">Power_RR*VLOOKUP(Rider_P3,Input_Output!$G$2:$I$6,3,FALSE)/Mass</f>
        <v>#DIV/0!</v>
      </c>
      <c r="BL29" t="e">
        <f ca="1">VLOOKUP(Rider_P3,Input_Output!$G$2:$I$6,3,FALSE)*accel*Vel_CoM</f>
        <v>#DIV/0!</v>
      </c>
      <c r="BM29" t="e">
        <f ca="1" t="shared" si="17"/>
        <v>#DIV/0!</v>
      </c>
      <c r="BN29" t="e">
        <f ca="1" t="shared" si="44"/>
        <v>#DIV/0!</v>
      </c>
      <c r="BO29" t="e">
        <f ca="1">P4_CDA_factor*(CDA_delta+IF(t&lt;Time_standing,VLOOKUP(Rider_P4,Input_Output!$G$2:$S$6,13,FALSE),VLOOKUP(Rider_P4,Input_Output!$G$2:$J$6,4,FALSE)))*0.5*rho*Vel_CoM*(Vel_CoM-Rel_airspeed)^2</f>
        <v>#DIV/0!</v>
      </c>
      <c r="BP29" t="e">
        <f ca="1">Power_RR*VLOOKUP(Rider_P4,Input_Output!$G$2:$I$6,3,FALSE)/Mass</f>
        <v>#DIV/0!</v>
      </c>
      <c r="BQ29" t="e">
        <f ca="1">VLOOKUP(Rider_P4,Input_Output!$G$2:$I$6,3,FALSE)*accel*Vel_CoM</f>
        <v>#DIV/0!</v>
      </c>
      <c r="BR29" t="e">
        <f ca="1" t="shared" si="18"/>
        <v>#DIV/0!</v>
      </c>
      <c r="BS29" t="e">
        <f ca="1" t="shared" si="45"/>
        <v>#DIV/0!</v>
      </c>
      <c r="BT29" s="10" t="e">
        <f ca="1" t="shared" si="19"/>
        <v>#DIV/0!</v>
      </c>
      <c r="BU29" t="e">
        <f ca="1" t="shared" si="20"/>
        <v>#DIV/0!</v>
      </c>
      <c r="BV29" t="e">
        <f ca="1" t="shared" si="110"/>
        <v>#DIV/0!</v>
      </c>
      <c r="BW29" t="e">
        <f ca="1">IF(BT29-VLOOKUP($BT$2,Input_Output!$G$2:$L$6,6,FALSE)&lt;0,0,BT29-VLOOKUP($BT$2,Input_Output!$G$2:$L$6,6,FALSE))*dt</f>
        <v>#DIV/0!</v>
      </c>
      <c r="BX29" t="e">
        <f ca="1" t="shared" si="91"/>
        <v>#DIV/0!</v>
      </c>
      <c r="BY29" t="b">
        <f t="shared" si="46"/>
        <v>0</v>
      </c>
      <c r="BZ29">
        <f ca="1" t="shared" si="47"/>
        <v>0</v>
      </c>
      <c r="CA29" t="b">
        <f t="shared" si="48"/>
        <v>0</v>
      </c>
      <c r="CB29">
        <f ca="1" t="shared" si="49"/>
        <v>0</v>
      </c>
      <c r="CC29" t="b">
        <f t="shared" si="50"/>
        <v>0</v>
      </c>
      <c r="CD29" s="11">
        <f ca="1" t="shared" si="51"/>
        <v>0</v>
      </c>
      <c r="CE29" t="e">
        <f ca="1" t="shared" si="21"/>
        <v>#DIV/0!</v>
      </c>
      <c r="CF29" t="e">
        <f ca="1" t="shared" si="22"/>
        <v>#DIV/0!</v>
      </c>
      <c r="CG29" t="e">
        <f ca="1" t="shared" si="111"/>
        <v>#DIV/0!</v>
      </c>
      <c r="CH29" t="e">
        <f ca="1">IF(CE29-VLOOKUP($CE$2,Input_Output!$G$2:$L$6,6,FALSE)&lt;0,0,CE29-VLOOKUP($CE$2,Input_Output!$G$2:$L$6,6,FALSE))*dt</f>
        <v>#DIV/0!</v>
      </c>
      <c r="CI29" t="e">
        <f ca="1" t="shared" si="93"/>
        <v>#DIV/0!</v>
      </c>
      <c r="CJ29" t="b">
        <f t="shared" si="52"/>
        <v>0</v>
      </c>
      <c r="CK29">
        <f ca="1" t="shared" si="53"/>
        <v>0</v>
      </c>
      <c r="CL29" t="b">
        <f t="shared" si="54"/>
        <v>0</v>
      </c>
      <c r="CM29">
        <f ca="1" t="shared" si="55"/>
        <v>0</v>
      </c>
      <c r="CN29" t="b">
        <f t="shared" si="56"/>
        <v>0</v>
      </c>
      <c r="CO29" s="11">
        <f ca="1" t="shared" si="57"/>
        <v>0</v>
      </c>
      <c r="CP29" t="e">
        <f ca="1" t="shared" si="23"/>
        <v>#DIV/0!</v>
      </c>
      <c r="CQ29" t="e">
        <f ca="1" t="shared" si="24"/>
        <v>#DIV/0!</v>
      </c>
      <c r="CR29" t="e">
        <f ca="1" t="shared" si="112"/>
        <v>#DIV/0!</v>
      </c>
      <c r="CS29" t="e">
        <f ca="1">IF(CP29-VLOOKUP($CP$2,Input_Output!$G$2:$L$6,6,FALSE)&lt;0,0,CP29-VLOOKUP($CP$2,Input_Output!$G$2:$L$6,6,FALSE))*dt</f>
        <v>#DIV/0!</v>
      </c>
      <c r="CT29" t="e">
        <f ca="1" t="shared" si="95"/>
        <v>#DIV/0!</v>
      </c>
      <c r="CU29" t="b">
        <f t="shared" si="58"/>
        <v>0</v>
      </c>
      <c r="CV29">
        <f ca="1" t="shared" si="59"/>
        <v>0</v>
      </c>
      <c r="CW29" t="b">
        <f t="shared" si="60"/>
        <v>0</v>
      </c>
      <c r="CX29">
        <f ca="1" t="shared" si="61"/>
        <v>0</v>
      </c>
      <c r="CY29" t="b">
        <f t="shared" si="62"/>
        <v>0</v>
      </c>
      <c r="CZ29" s="11">
        <f ca="1" t="shared" si="63"/>
        <v>0</v>
      </c>
      <c r="DA29" t="e">
        <f ca="1" t="shared" si="25"/>
        <v>#DIV/0!</v>
      </c>
      <c r="DB29" t="e">
        <f ca="1" t="shared" si="26"/>
        <v>#DIV/0!</v>
      </c>
      <c r="DC29" t="e">
        <f ca="1" t="shared" si="113"/>
        <v>#DIV/0!</v>
      </c>
      <c r="DD29" t="e">
        <f ca="1">IF(DA29-VLOOKUP($DA$2,Input_Output!$G$2:$L$6,6,FALSE)&lt;0,0,DA29-VLOOKUP($DA$2,Input_Output!$G$2:$L$6,6,FALSE))*dt</f>
        <v>#DIV/0!</v>
      </c>
      <c r="DE29" t="e">
        <f ca="1" t="shared" si="97"/>
        <v>#DIV/0!</v>
      </c>
      <c r="DF29" t="b">
        <f t="shared" si="64"/>
        <v>0</v>
      </c>
      <c r="DG29">
        <f ca="1" t="shared" si="98"/>
        <v>0</v>
      </c>
      <c r="DH29" t="b">
        <f t="shared" si="65"/>
        <v>0</v>
      </c>
      <c r="DI29">
        <f ca="1" t="shared" si="99"/>
        <v>0</v>
      </c>
      <c r="DJ29" t="b">
        <f t="shared" si="66"/>
        <v>0</v>
      </c>
      <c r="DK29" s="11">
        <f ca="1" t="shared" si="100"/>
        <v>0</v>
      </c>
    </row>
    <row r="30" spans="1:115">
      <c r="A30">
        <v>28</v>
      </c>
      <c r="B30">
        <f t="shared" si="27"/>
        <v>0.7</v>
      </c>
      <c r="C30" t="e">
        <f ca="1">IF(O29&gt;P29,VLOOKUP(Calcs!C29,Input_Output!$AN$11:$AS$30,6,FALSE),C29)</f>
        <v>#DIV/0!</v>
      </c>
      <c r="D30" t="e">
        <f ca="1" t="shared" si="103"/>
        <v>#DIV/0!</v>
      </c>
      <c r="E30" t="e">
        <f ca="1">VLOOKUP(D30,Input_Output!$B$2:$E$5,2,FALSE)</f>
        <v>#DIV/0!</v>
      </c>
      <c r="F30" t="e">
        <f ca="1">VLOOKUP(D30,Input_Output!$B$2:$E$5,3,FALSE)</f>
        <v>#DIV/0!</v>
      </c>
      <c r="G30" t="e">
        <f ca="1">VLOOKUP(D30,Input_Output!$B$2:$E$5,4,FALSE)</f>
        <v>#DIV/0!</v>
      </c>
      <c r="H30" s="9">
        <f ca="1">IFERROR(IF(NOT(C30=C29),VLOOKUP(C29,Input_Output!$AN$11:$AV$30,9,FALSE)+O29+O30+(N30*dt),H29+(N30*dt)),tot_dist_end+10)</f>
        <v>4030.15025566113</v>
      </c>
      <c r="I30" s="6" t="e">
        <f ca="1" t="array" ref="I30">IF(OR(Q30=1,Q30=2),Starter_power_increment,Power_increment)+IF(OR(Q30=1,Q30=2),IF(Lap1profile="Male",laponepm(B30),laponepf(B30)),VLOOKUP(_xlfn.SINGLE(Rider_P1),Input_Output!$G$2:$P$6,(7+J30),FALSE))*Efficiency</f>
        <v>#NAME?</v>
      </c>
      <c r="J30" s="21" t="e">
        <f ca="1" t="shared" si="28"/>
        <v>#DIV/0!</v>
      </c>
      <c r="K30" t="e">
        <f ca="1" t="shared" si="104"/>
        <v>#DIV/0!</v>
      </c>
      <c r="L30" t="e">
        <f ca="1" t="shared" si="0"/>
        <v>#DIV/0!</v>
      </c>
      <c r="M30" t="e">
        <f ca="1" t="shared" si="105"/>
        <v>#DIV/0!</v>
      </c>
      <c r="N30" t="e">
        <f ca="1" t="shared" si="32"/>
        <v>#DIV/0!</v>
      </c>
      <c r="O30" s="22" t="e">
        <f ca="1" t="shared" si="33"/>
        <v>#DIV/0!</v>
      </c>
      <c r="P30" s="8" t="e">
        <f ca="1">VLOOKUP(C30,Input_Output!$AN$11:$AT$30,7,FALSE)</f>
        <v>#DIV/0!</v>
      </c>
      <c r="Q30" s="27">
        <f ca="1" t="shared" si="106"/>
        <v>19</v>
      </c>
      <c r="R30" s="6">
        <f ca="1">VLOOKUP(Q30,Input_Output!$AH$11:$AI$43,2,FALSE)</f>
        <v>2386.9642142988</v>
      </c>
      <c r="S30" s="27" t="e">
        <f ca="1">IF(#REF!&gt;R30,Q30,FALSE)</f>
        <v>#REF!</v>
      </c>
      <c r="T30" s="12" t="e">
        <f ca="1" t="shared" si="1"/>
        <v>#REF!</v>
      </c>
      <c r="U30" s="12">
        <f ca="1" t="shared" si="2"/>
        <v>1768.81573685174</v>
      </c>
      <c r="V30" s="28">
        <f ca="1" t="shared" si="34"/>
        <v>14.0795990148749</v>
      </c>
      <c r="W30" s="8">
        <f ca="1">VLOOKUP(V30,Track_geometry_lookup!$A$3:$E$1003,2,TRUE)</f>
        <v>10000</v>
      </c>
      <c r="X30" s="12">
        <f ca="1">VLOOKUP(V30,Track_geometry_lookup!$A$3:$E$1003,3,TRUE)</f>
        <v>0.229283903834712</v>
      </c>
      <c r="Y30" s="12" t="e">
        <f ca="1">IF(Vel_whls&lt;6,0,(RADIANS(90)-(VLOOKUP(W30,Lean_angle_lookup!$A$3:$AP$244,VLOOKUP(Vel_whls,Lean_angle_lookup!$AU$3:$AV$48,2,TRUE),TRUE))))</f>
        <v>#DIV/0!</v>
      </c>
      <c r="Z30" s="6" t="e">
        <f ca="1">VLOOKUP(Rider_P1,Input_Output!$G$2:$K$6,5,FALSE)</f>
        <v>#DIV/0!</v>
      </c>
      <c r="AA30" s="8" t="e">
        <f ca="1">Static_mass_delta+VLOOKUP(Rider_P1,Input_Output!$G$2:$I$6,3,FALSE)</f>
        <v>#DIV/0!</v>
      </c>
      <c r="AB30" s="12" t="e">
        <f ca="1">P1_CDA_factor*(CDA_delta+IF(t&lt;Time_standing,VLOOKUP(Rider_P1,Input_Output!$G$2:$S$6,13,FALSE),VLOOKUP(Rider_P1,Input_Output!$G$2:$J$6,4,FALSE)))</f>
        <v>#DIV/0!</v>
      </c>
      <c r="AC30" s="12" t="e">
        <f ca="1" t="shared" si="116"/>
        <v>#DIV/0!</v>
      </c>
      <c r="AD30" s="12" t="e">
        <f ca="1" t="shared" si="117"/>
        <v>#DIV/0!</v>
      </c>
      <c r="AE30" s="12" t="e">
        <f ca="1" t="shared" si="117"/>
        <v>#DIV/0!</v>
      </c>
      <c r="AF30" s="6" t="e">
        <f ca="1" t="shared" si="114"/>
        <v>#DIV/0!</v>
      </c>
      <c r="AG30" s="8" t="e">
        <f ca="1" t="shared" si="115"/>
        <v>#DIV/0!</v>
      </c>
      <c r="AH30" s="6" t="e">
        <f ca="1" t="shared" si="5"/>
        <v>#DIV/0!</v>
      </c>
      <c r="AI30" s="9" t="e">
        <f ca="1" t="shared" si="37"/>
        <v>#DIV/0!</v>
      </c>
      <c r="AJ30" t="e">
        <f ca="1" t="shared" si="6"/>
        <v>#DIV/0!</v>
      </c>
      <c r="AK30" s="6" t="e">
        <f ca="1" t="shared" si="7"/>
        <v>#DIV/0!</v>
      </c>
      <c r="AL30" s="6" t="e">
        <f ca="1" t="shared" si="8"/>
        <v>#DIV/0!</v>
      </c>
      <c r="AM30" s="6" t="e">
        <f ca="1" t="shared" si="9"/>
        <v>#DIV/0!</v>
      </c>
      <c r="AN30" s="6" t="e">
        <f ca="1" t="shared" si="10"/>
        <v>#DIV/0!</v>
      </c>
      <c r="AO30" s="6" t="e">
        <f ca="1" t="shared" si="38"/>
        <v>#DIV/0!</v>
      </c>
      <c r="AP30" s="6" t="e">
        <f ca="1" t="shared" si="11"/>
        <v>#DIV/0!</v>
      </c>
      <c r="AQ30" s="8">
        <f ca="1" t="shared" si="39"/>
        <v>76.8629999999876</v>
      </c>
      <c r="AR30" s="6" t="e">
        <f ca="1" t="shared" si="40"/>
        <v>#DIV/0!</v>
      </c>
      <c r="AS30" s="6">
        <f ca="1">VLOOKUP(Q30,Input_Output!$A$57:$B$88,2,FALSE)</f>
        <v>0.3</v>
      </c>
      <c r="AT30" s="6" t="e">
        <f ca="1" t="shared" si="12"/>
        <v>#DIV/0!</v>
      </c>
      <c r="AU30" t="e">
        <f ca="1" t="shared" si="41"/>
        <v>#DIV/0!</v>
      </c>
      <c r="AV30" t="e">
        <f ca="1" t="shared" si="13"/>
        <v>#NAME?</v>
      </c>
      <c r="AW30" t="e">
        <f ca="1" t="shared" si="78"/>
        <v>#NAME?</v>
      </c>
      <c r="AX30" t="e">
        <f ca="1" t="shared" si="79"/>
        <v>#NAME?</v>
      </c>
      <c r="AY30" t="e">
        <f ca="1" t="shared" si="14"/>
        <v>#NAME?</v>
      </c>
      <c r="AZ30" t="e">
        <f ca="1" t="shared" si="108"/>
        <v>#DIV/0!</v>
      </c>
      <c r="BA30" t="e">
        <f ca="1">IF(NOT(#REF!=C30),C30,FALSE)</f>
        <v>#REF!</v>
      </c>
      <c r="BB30">
        <f ca="1" t="shared" si="42"/>
        <v>1000</v>
      </c>
      <c r="BC30" t="e">
        <f ca="1" t="shared" si="15"/>
        <v>#DIV/0!</v>
      </c>
      <c r="BE30" t="e">
        <f ca="1">P2_CDA_factor*(CDA_delta+IF(t&lt;Time_standing,VLOOKUP(Rider_P2,Input_Output!$G$2:$S$6,13,FALSE),VLOOKUP(Rider_P2,Input_Output!$G$2:$J$6,4,FALSE)))*0.5*rho*Vel_CoM*(Vel_CoM-Rel_airspeed)^2</f>
        <v>#DIV/0!</v>
      </c>
      <c r="BF30" t="e">
        <f ca="1">Power_RR*VLOOKUP(Rider_P2,Input_Output!$G$2:$I$6,3,FALSE)/Mass</f>
        <v>#DIV/0!</v>
      </c>
      <c r="BG30" t="e">
        <f ca="1">VLOOKUP(Rider_P2,Input_Output!$G$2:$I$6,3,FALSE)*accel*Vel_CoM</f>
        <v>#DIV/0!</v>
      </c>
      <c r="BH30" t="e">
        <f ca="1" t="shared" si="16"/>
        <v>#DIV/0!</v>
      </c>
      <c r="BI30" t="e">
        <f ca="1" t="shared" si="43"/>
        <v>#DIV/0!</v>
      </c>
      <c r="BJ30" t="e">
        <f ca="1">P3_CDA_factor*(CDA_delta+IF(t&lt;Time_standing,VLOOKUP(Rider_P3,Input_Output!$G$2:$S$6,13,FALSE),VLOOKUP(Rider_P3,Input_Output!$G$2:$J$6,4,FALSE)))*0.5*rho*Vel_CoM*(Vel_CoM-Rel_airspeed)^2</f>
        <v>#DIV/0!</v>
      </c>
      <c r="BK30" t="e">
        <f ca="1">Power_RR*VLOOKUP(Rider_P3,Input_Output!$G$2:$I$6,3,FALSE)/Mass</f>
        <v>#DIV/0!</v>
      </c>
      <c r="BL30" t="e">
        <f ca="1">VLOOKUP(Rider_P3,Input_Output!$G$2:$I$6,3,FALSE)*accel*Vel_CoM</f>
        <v>#DIV/0!</v>
      </c>
      <c r="BM30" t="e">
        <f ca="1" t="shared" si="17"/>
        <v>#DIV/0!</v>
      </c>
      <c r="BN30" t="e">
        <f ca="1" t="shared" si="44"/>
        <v>#DIV/0!</v>
      </c>
      <c r="BO30" t="e">
        <f ca="1">P4_CDA_factor*(CDA_delta+IF(t&lt;Time_standing,VLOOKUP(Rider_P4,Input_Output!$G$2:$S$6,13,FALSE),VLOOKUP(Rider_P4,Input_Output!$G$2:$J$6,4,FALSE)))*0.5*rho*Vel_CoM*(Vel_CoM-Rel_airspeed)^2</f>
        <v>#DIV/0!</v>
      </c>
      <c r="BP30" t="e">
        <f ca="1">Power_RR*VLOOKUP(Rider_P4,Input_Output!$G$2:$I$6,3,FALSE)/Mass</f>
        <v>#DIV/0!</v>
      </c>
      <c r="BQ30" t="e">
        <f ca="1">VLOOKUP(Rider_P4,Input_Output!$G$2:$I$6,3,FALSE)*accel*Vel_CoM</f>
        <v>#DIV/0!</v>
      </c>
      <c r="BR30" t="e">
        <f ca="1" t="shared" si="18"/>
        <v>#DIV/0!</v>
      </c>
      <c r="BS30" t="e">
        <f ca="1" t="shared" si="45"/>
        <v>#DIV/0!</v>
      </c>
      <c r="BT30" s="10" t="e">
        <f ca="1" t="shared" si="19"/>
        <v>#DIV/0!</v>
      </c>
      <c r="BU30" t="e">
        <f ca="1" t="shared" si="20"/>
        <v>#DIV/0!</v>
      </c>
      <c r="BV30" t="e">
        <f ca="1" t="shared" si="110"/>
        <v>#DIV/0!</v>
      </c>
      <c r="BW30" t="e">
        <f ca="1">IF(BT30-VLOOKUP($BT$2,Input_Output!$G$2:$L$6,6,FALSE)&lt;0,0,BT30-VLOOKUP($BT$2,Input_Output!$G$2:$L$6,6,FALSE))*dt</f>
        <v>#DIV/0!</v>
      </c>
      <c r="BX30" t="e">
        <f ca="1" t="shared" si="91"/>
        <v>#DIV/0!</v>
      </c>
      <c r="BY30" t="b">
        <f t="shared" si="46"/>
        <v>0</v>
      </c>
      <c r="BZ30">
        <f ca="1" t="shared" si="47"/>
        <v>0</v>
      </c>
      <c r="CA30" t="b">
        <f t="shared" si="48"/>
        <v>0</v>
      </c>
      <c r="CB30">
        <f ca="1" t="shared" si="49"/>
        <v>0</v>
      </c>
      <c r="CC30" t="b">
        <f t="shared" si="50"/>
        <v>0</v>
      </c>
      <c r="CD30" s="11">
        <f ca="1" t="shared" si="51"/>
        <v>0</v>
      </c>
      <c r="CE30" t="e">
        <f ca="1" t="shared" si="21"/>
        <v>#DIV/0!</v>
      </c>
      <c r="CF30" t="e">
        <f ca="1" t="shared" si="22"/>
        <v>#DIV/0!</v>
      </c>
      <c r="CG30" t="e">
        <f ca="1" t="shared" si="111"/>
        <v>#DIV/0!</v>
      </c>
      <c r="CH30" t="e">
        <f ca="1">IF(CE30-VLOOKUP($CE$2,Input_Output!$G$2:$L$6,6,FALSE)&lt;0,0,CE30-VLOOKUP($CE$2,Input_Output!$G$2:$L$6,6,FALSE))*dt</f>
        <v>#DIV/0!</v>
      </c>
      <c r="CI30" t="e">
        <f ca="1" t="shared" si="93"/>
        <v>#DIV/0!</v>
      </c>
      <c r="CJ30" t="b">
        <f t="shared" si="52"/>
        <v>0</v>
      </c>
      <c r="CK30">
        <f ca="1" t="shared" si="53"/>
        <v>0</v>
      </c>
      <c r="CL30" t="b">
        <f t="shared" si="54"/>
        <v>0</v>
      </c>
      <c r="CM30">
        <f ca="1" t="shared" si="55"/>
        <v>0</v>
      </c>
      <c r="CN30" t="b">
        <f t="shared" si="56"/>
        <v>0</v>
      </c>
      <c r="CO30" s="11">
        <f ca="1" t="shared" si="57"/>
        <v>0</v>
      </c>
      <c r="CP30" t="e">
        <f ca="1" t="shared" si="23"/>
        <v>#DIV/0!</v>
      </c>
      <c r="CQ30" t="e">
        <f ca="1" t="shared" si="24"/>
        <v>#DIV/0!</v>
      </c>
      <c r="CR30" t="e">
        <f ca="1" t="shared" si="112"/>
        <v>#DIV/0!</v>
      </c>
      <c r="CS30" t="e">
        <f ca="1">IF(CP30-VLOOKUP($CP$2,Input_Output!$G$2:$L$6,6,FALSE)&lt;0,0,CP30-VLOOKUP($CP$2,Input_Output!$G$2:$L$6,6,FALSE))*dt</f>
        <v>#DIV/0!</v>
      </c>
      <c r="CT30" t="e">
        <f ca="1" t="shared" si="95"/>
        <v>#DIV/0!</v>
      </c>
      <c r="CU30" t="b">
        <f t="shared" si="58"/>
        <v>0</v>
      </c>
      <c r="CV30">
        <f ca="1" t="shared" si="59"/>
        <v>0</v>
      </c>
      <c r="CW30" t="b">
        <f t="shared" si="60"/>
        <v>0</v>
      </c>
      <c r="CX30">
        <f ca="1" t="shared" si="61"/>
        <v>0</v>
      </c>
      <c r="CY30" t="b">
        <f t="shared" si="62"/>
        <v>0</v>
      </c>
      <c r="CZ30" s="11">
        <f ca="1" t="shared" si="63"/>
        <v>0</v>
      </c>
      <c r="DA30" t="e">
        <f ca="1" t="shared" si="25"/>
        <v>#DIV/0!</v>
      </c>
      <c r="DB30" t="e">
        <f ca="1" t="shared" si="26"/>
        <v>#DIV/0!</v>
      </c>
      <c r="DC30" t="e">
        <f ca="1" t="shared" si="113"/>
        <v>#DIV/0!</v>
      </c>
      <c r="DD30" t="e">
        <f ca="1">IF(DA30-VLOOKUP($DA$2,Input_Output!$G$2:$L$6,6,FALSE)&lt;0,0,DA30-VLOOKUP($DA$2,Input_Output!$G$2:$L$6,6,FALSE))*dt</f>
        <v>#DIV/0!</v>
      </c>
      <c r="DE30" t="e">
        <f ca="1" t="shared" si="97"/>
        <v>#DIV/0!</v>
      </c>
      <c r="DF30" t="b">
        <f t="shared" si="64"/>
        <v>0</v>
      </c>
      <c r="DG30">
        <f ca="1" t="shared" si="98"/>
        <v>0</v>
      </c>
      <c r="DH30" t="b">
        <f t="shared" si="65"/>
        <v>0</v>
      </c>
      <c r="DI30">
        <f ca="1" t="shared" si="99"/>
        <v>0</v>
      </c>
      <c r="DJ30" t="b">
        <f t="shared" si="66"/>
        <v>0</v>
      </c>
      <c r="DK30" s="11">
        <f ca="1" t="shared" si="100"/>
        <v>0</v>
      </c>
    </row>
  </sheetData>
  <mergeCells count="1">
    <mergeCell ref="I1:AX1"/>
  </mergeCells>
  <pageMargins left="0.7" right="0.7" top="0.75" bottom="0.75" header="0.3" footer="0.3"/>
  <pageSetup paperSize="9" orientation="portrait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R1003"/>
  <sheetViews>
    <sheetView topLeftCell="C1" workbookViewId="0">
      <selection activeCell="I4" sqref="I4"/>
    </sheetView>
  </sheetViews>
  <sheetFormatPr defaultColWidth="9" defaultRowHeight="13.5"/>
  <cols>
    <col min="3" max="3" width="15.8583333333333" customWidth="1"/>
    <col min="8" max="8" width="36.8583333333333" customWidth="1"/>
    <col min="9" max="9" width="21.8583333333333" customWidth="1"/>
    <col min="10" max="10" width="18.8583333333333" customWidth="1"/>
    <col min="11" max="11" width="16.7083333333333" customWidth="1"/>
    <col min="12" max="12" width="15" customWidth="1"/>
    <col min="13" max="13" width="12.5666666666667" customWidth="1"/>
    <col min="14" max="14" width="20.1416666666667" customWidth="1"/>
    <col min="15" max="15" width="20.2833333333333" customWidth="1"/>
    <col min="16" max="16" width="18.1416666666667" customWidth="1"/>
    <col min="17" max="17" width="15.425" customWidth="1"/>
  </cols>
  <sheetData>
    <row r="1" spans="2:3">
      <c r="B1" s="4" t="s">
        <v>96</v>
      </c>
      <c r="C1" s="4"/>
    </row>
    <row r="2" spans="2:3">
      <c r="B2" t="s">
        <v>199</v>
      </c>
      <c r="C2" t="s">
        <v>200</v>
      </c>
    </row>
    <row r="3" spans="1:9">
      <c r="A3">
        <v>0</v>
      </c>
      <c r="B3">
        <v>10000</v>
      </c>
      <c r="C3">
        <v>0.225147473507269</v>
      </c>
      <c r="I3" t="s">
        <v>201</v>
      </c>
    </row>
    <row r="4" spans="1:9">
      <c r="A4">
        <f>A3+0.001</f>
        <v>0.001</v>
      </c>
      <c r="B4">
        <v>10000</v>
      </c>
      <c r="C4">
        <v>0.225309527987097</v>
      </c>
      <c r="H4" t="s">
        <v>202</v>
      </c>
      <c r="I4" s="3">
        <f>AVERAGE(R13:R15)</f>
        <v>0.994987685937172</v>
      </c>
    </row>
    <row r="5" spans="1:9">
      <c r="A5">
        <f t="shared" ref="A5:A68" si="0">A4+0.001</f>
        <v>0.002</v>
      </c>
      <c r="B5">
        <v>10000</v>
      </c>
      <c r="C5">
        <v>0.225450897029163</v>
      </c>
      <c r="I5" s="3"/>
    </row>
    <row r="6" spans="1:3">
      <c r="A6">
        <f t="shared" si="0"/>
        <v>0.003</v>
      </c>
      <c r="B6">
        <v>10000</v>
      </c>
      <c r="C6">
        <v>0.225572480376524</v>
      </c>
    </row>
    <row r="7" spans="1:3">
      <c r="A7">
        <f t="shared" si="0"/>
        <v>0.004</v>
      </c>
      <c r="B7">
        <v>10000</v>
      </c>
      <c r="C7">
        <v>0.225675164978759</v>
      </c>
    </row>
    <row r="8" spans="1:9">
      <c r="A8">
        <f t="shared" si="0"/>
        <v>0.005</v>
      </c>
      <c r="B8">
        <v>10000</v>
      </c>
      <c r="C8">
        <v>0.22575982508202</v>
      </c>
      <c r="H8" t="s">
        <v>203</v>
      </c>
      <c r="I8">
        <f>bl</f>
        <v>0.4</v>
      </c>
    </row>
    <row r="9" spans="1:3">
      <c r="A9">
        <f t="shared" si="0"/>
        <v>0.006</v>
      </c>
      <c r="B9">
        <v>10000</v>
      </c>
      <c r="C9">
        <v>0.225827322318811</v>
      </c>
    </row>
    <row r="10" spans="1:9">
      <c r="A10">
        <f t="shared" si="0"/>
        <v>0.007</v>
      </c>
      <c r="B10">
        <v>10000</v>
      </c>
      <c r="C10">
        <v>0.225878505797495</v>
      </c>
      <c r="H10" t="s">
        <v>204</v>
      </c>
      <c r="I10" s="99" t="s">
        <v>205</v>
      </c>
    </row>
    <row r="11" spans="1:3">
      <c r="A11">
        <f t="shared" si="0"/>
        <v>0.008</v>
      </c>
      <c r="B11">
        <v>10000</v>
      </c>
      <c r="C11">
        <v>0.225914212191537</v>
      </c>
    </row>
    <row r="12" ht="36" customHeight="1" spans="1:18">
      <c r="A12">
        <f t="shared" si="0"/>
        <v>0.009</v>
      </c>
      <c r="B12">
        <v>10000</v>
      </c>
      <c r="C12">
        <v>0.225935265828473</v>
      </c>
      <c r="I12" t="s">
        <v>206</v>
      </c>
      <c r="J12" t="s">
        <v>207</v>
      </c>
      <c r="K12" t="s">
        <v>208</v>
      </c>
      <c r="L12" t="s">
        <v>209</v>
      </c>
      <c r="M12" s="99" t="s">
        <v>210</v>
      </c>
      <c r="N12" t="s">
        <v>211</v>
      </c>
      <c r="O12" s="5" t="s">
        <v>212</v>
      </c>
      <c r="P12" s="5" t="s">
        <v>213</v>
      </c>
      <c r="Q12" s="5" t="s">
        <v>214</v>
      </c>
      <c r="R12" s="5" t="s">
        <v>215</v>
      </c>
    </row>
    <row r="13" spans="1:18">
      <c r="A13">
        <f t="shared" si="0"/>
        <v>0.01</v>
      </c>
      <c r="B13">
        <v>10000</v>
      </c>
      <c r="C13">
        <v>0.225942478778609</v>
      </c>
      <c r="H13" t="s">
        <v>216</v>
      </c>
      <c r="I13">
        <v>45</v>
      </c>
      <c r="J13">
        <f>I13/2</f>
        <v>22.5</v>
      </c>
      <c r="K13" s="6">
        <f>PI()*I13</f>
        <v>141.371669411541</v>
      </c>
      <c r="L13" s="6">
        <f>250-K13</f>
        <v>108.628330588459</v>
      </c>
      <c r="M13" s="7">
        <f>K13/250</f>
        <v>0.565486677646163</v>
      </c>
      <c r="N13">
        <f>J13+$I$8</f>
        <v>22.9</v>
      </c>
      <c r="O13" s="8">
        <f>PI()*(3*(J13+J13)-SQRT((3*J13+J13)*(J13+3*J13)))</f>
        <v>141.371669411541</v>
      </c>
      <c r="P13" s="8">
        <f>PI()*(3*(N13+J13)-SQRT((3*N13+J13)*(N13+3*J13)))</f>
        <v>142.631074409449</v>
      </c>
      <c r="Q13" s="9">
        <f>P13-O13</f>
        <v>1.25940499790781</v>
      </c>
      <c r="R13">
        <f>250/(250+Q13)</f>
        <v>0.994987630421563</v>
      </c>
    </row>
    <row r="14" spans="1:18">
      <c r="A14">
        <f t="shared" si="0"/>
        <v>0.011</v>
      </c>
      <c r="B14">
        <v>10000</v>
      </c>
      <c r="C14">
        <v>0.225936650943455</v>
      </c>
      <c r="H14" t="s">
        <v>217</v>
      </c>
      <c r="I14">
        <v>48.6</v>
      </c>
      <c r="J14">
        <f t="shared" ref="J14:J15" si="1">I14/2</f>
        <v>24.3</v>
      </c>
      <c r="K14" s="6">
        <f t="shared" ref="K14:K15" si="2">PI()*I14</f>
        <v>152.681402964464</v>
      </c>
      <c r="L14" s="6">
        <f t="shared" ref="L14:L15" si="3">250-K14</f>
        <v>97.318597035536</v>
      </c>
      <c r="M14" s="7">
        <f t="shared" ref="M14:M15" si="4">K14/250</f>
        <v>0.610725611857856</v>
      </c>
      <c r="N14">
        <f t="shared" ref="N14:N15" si="5">J14+$I$8</f>
        <v>24.7</v>
      </c>
      <c r="O14" s="8">
        <f t="shared" ref="O14:O15" si="6">PI()*(3*(J14+J14)-SQRT((3*J14+J14)*(J14+3*J14)))</f>
        <v>152.681402964464</v>
      </c>
      <c r="P14" s="8">
        <f t="shared" ref="P14:P15" si="7">PI()*(3*(N14+J14)-SQRT((3*N14+J14)*(N14+3*J14)))</f>
        <v>153.940604602013</v>
      </c>
      <c r="Q14" s="9">
        <f t="shared" ref="Q14:Q15" si="8">P14-O14</f>
        <v>1.25920163754873</v>
      </c>
      <c r="R14">
        <f t="shared" ref="R14:R15" si="9">250/(250+Q14)</f>
        <v>0.994988435729549</v>
      </c>
    </row>
    <row r="15" spans="1:18">
      <c r="A15">
        <f t="shared" si="0"/>
        <v>0.012</v>
      </c>
      <c r="B15">
        <v>10000</v>
      </c>
      <c r="C15">
        <v>0.225918570143882</v>
      </c>
      <c r="H15" t="s">
        <v>218</v>
      </c>
      <c r="I15">
        <v>42.5</v>
      </c>
      <c r="J15">
        <f t="shared" si="1"/>
        <v>21.25</v>
      </c>
      <c r="K15" s="6">
        <f t="shared" si="2"/>
        <v>133.517687777566</v>
      </c>
      <c r="L15" s="6">
        <f t="shared" si="3"/>
        <v>116.482312222434</v>
      </c>
      <c r="M15" s="7">
        <f t="shared" si="4"/>
        <v>0.534070751110265</v>
      </c>
      <c r="N15">
        <f t="shared" si="5"/>
        <v>21.65</v>
      </c>
      <c r="O15" s="8">
        <f t="shared" si="6"/>
        <v>133.517687777566</v>
      </c>
      <c r="P15" s="8">
        <f t="shared" si="7"/>
        <v>134.777254078838</v>
      </c>
      <c r="Q15" s="9">
        <f t="shared" si="8"/>
        <v>1.25956630127163</v>
      </c>
      <c r="R15">
        <f t="shared" si="9"/>
        <v>0.994986991660404</v>
      </c>
    </row>
    <row r="16" spans="1:3">
      <c r="A16">
        <f t="shared" si="0"/>
        <v>0.013</v>
      </c>
      <c r="B16">
        <v>10000</v>
      </c>
      <c r="C16">
        <v>0.225889012208017</v>
      </c>
    </row>
    <row r="17" spans="1:3">
      <c r="A17">
        <f t="shared" si="0"/>
        <v>0.014</v>
      </c>
      <c r="B17">
        <v>10000</v>
      </c>
      <c r="C17">
        <v>0.225848741058865</v>
      </c>
    </row>
    <row r="18" spans="1:3">
      <c r="A18">
        <f t="shared" si="0"/>
        <v>0.015</v>
      </c>
      <c r="B18">
        <v>10000</v>
      </c>
      <c r="C18">
        <v>0.225798508801658</v>
      </c>
    </row>
    <row r="19" spans="1:3">
      <c r="A19">
        <f t="shared" si="0"/>
        <v>0.016</v>
      </c>
      <c r="B19">
        <v>10000</v>
      </c>
      <c r="C19">
        <v>0.225739055810941</v>
      </c>
    </row>
    <row r="20" spans="1:3">
      <c r="A20">
        <f t="shared" si="0"/>
        <v>0.017</v>
      </c>
      <c r="B20">
        <v>10000</v>
      </c>
      <c r="C20">
        <v>0.225671110817382</v>
      </c>
    </row>
    <row r="21" spans="1:3">
      <c r="A21">
        <f t="shared" si="0"/>
        <v>0.018</v>
      </c>
      <c r="B21">
        <v>10000</v>
      </c>
      <c r="C21">
        <v>0.225595390994319</v>
      </c>
    </row>
    <row r="22" spans="1:3">
      <c r="A22">
        <f t="shared" si="0"/>
        <v>0.019</v>
      </c>
      <c r="B22">
        <v>10000</v>
      </c>
      <c r="C22">
        <v>0.225512602044031</v>
      </c>
    </row>
    <row r="23" spans="1:3">
      <c r="A23">
        <f t="shared" si="0"/>
        <v>0.02</v>
      </c>
      <c r="B23">
        <v>10000</v>
      </c>
      <c r="C23">
        <v>0.225423438283743</v>
      </c>
    </row>
    <row r="24" spans="1:3">
      <c r="A24">
        <f t="shared" si="0"/>
        <v>0.021</v>
      </c>
      <c r="B24">
        <v>10000</v>
      </c>
      <c r="C24">
        <v>0.225328582731358</v>
      </c>
    </row>
    <row r="25" spans="1:3">
      <c r="A25">
        <f t="shared" si="0"/>
        <v>0.022</v>
      </c>
      <c r="B25">
        <v>10000</v>
      </c>
      <c r="C25">
        <v>0.225228707190928</v>
      </c>
    </row>
    <row r="26" spans="1:3">
      <c r="A26">
        <f t="shared" si="0"/>
        <v>0.023</v>
      </c>
      <c r="B26">
        <v>10000</v>
      </c>
      <c r="C26">
        <v>0.225124472337841</v>
      </c>
    </row>
    <row r="27" spans="1:3">
      <c r="A27">
        <f t="shared" si="0"/>
        <v>0.024</v>
      </c>
      <c r="B27">
        <v>10000</v>
      </c>
      <c r="C27">
        <v>0.225016527803753</v>
      </c>
    </row>
    <row r="28" spans="1:3">
      <c r="A28">
        <f t="shared" si="0"/>
        <v>0.025</v>
      </c>
      <c r="B28">
        <v>10000</v>
      </c>
      <c r="C28">
        <v>0.224905512261241</v>
      </c>
    </row>
    <row r="29" spans="1:3">
      <c r="A29">
        <f t="shared" si="0"/>
        <v>0.026</v>
      </c>
      <c r="B29">
        <v>10000</v>
      </c>
      <c r="C29">
        <v>0.224792053508187</v>
      </c>
    </row>
    <row r="30" spans="1:3">
      <c r="A30">
        <f t="shared" si="0"/>
        <v>0.027</v>
      </c>
      <c r="B30">
        <v>10000</v>
      </c>
      <c r="C30">
        <v>0.224676768551902</v>
      </c>
    </row>
    <row r="31" spans="1:3">
      <c r="A31">
        <f t="shared" si="0"/>
        <v>0.028</v>
      </c>
      <c r="B31">
        <v>10000</v>
      </c>
      <c r="C31">
        <v>0.224560263692962</v>
      </c>
    </row>
    <row r="32" spans="1:3">
      <c r="A32">
        <f t="shared" si="0"/>
        <v>0.029</v>
      </c>
      <c r="B32">
        <v>10000</v>
      </c>
      <c r="C32">
        <v>0.224443134608797</v>
      </c>
    </row>
    <row r="33" spans="1:3">
      <c r="A33">
        <f t="shared" si="0"/>
        <v>0.03</v>
      </c>
      <c r="B33">
        <v>10000</v>
      </c>
      <c r="C33">
        <v>0.224325966436987</v>
      </c>
    </row>
    <row r="34" spans="1:3">
      <c r="A34">
        <f t="shared" si="0"/>
        <v>0.031</v>
      </c>
      <c r="B34">
        <v>10000</v>
      </c>
      <c r="C34">
        <v>0.224209333858312</v>
      </c>
    </row>
    <row r="35" spans="1:3">
      <c r="A35">
        <f t="shared" si="0"/>
        <v>0.032</v>
      </c>
      <c r="B35">
        <v>10000</v>
      </c>
      <c r="C35">
        <v>0.224093801179508</v>
      </c>
    </row>
    <row r="36" spans="1:3">
      <c r="A36">
        <f t="shared" si="0"/>
        <v>0.033</v>
      </c>
      <c r="B36">
        <v>10000</v>
      </c>
      <c r="C36">
        <v>0.223979922415776</v>
      </c>
    </row>
    <row r="37" spans="1:3">
      <c r="A37">
        <f t="shared" si="0"/>
        <v>0.034</v>
      </c>
      <c r="B37">
        <v>10000</v>
      </c>
      <c r="C37">
        <v>0.223868241373005</v>
      </c>
    </row>
    <row r="38" spans="1:3">
      <c r="A38">
        <f t="shared" si="0"/>
        <v>0.035</v>
      </c>
      <c r="B38">
        <v>10000</v>
      </c>
      <c r="C38">
        <v>0.223759291729733</v>
      </c>
    </row>
    <row r="39" spans="1:3">
      <c r="A39">
        <f t="shared" si="0"/>
        <v>0.036</v>
      </c>
      <c r="B39">
        <v>10000</v>
      </c>
      <c r="C39">
        <v>0.223653597118838</v>
      </c>
    </row>
    <row r="40" spans="1:3">
      <c r="A40">
        <f t="shared" si="0"/>
        <v>0.037</v>
      </c>
      <c r="B40">
        <v>10000</v>
      </c>
      <c r="C40">
        <v>0.223551671208955</v>
      </c>
    </row>
    <row r="41" spans="1:3">
      <c r="A41">
        <f t="shared" si="0"/>
        <v>0.038</v>
      </c>
      <c r="B41">
        <v>10000</v>
      </c>
      <c r="C41">
        <v>0.223454017785631</v>
      </c>
    </row>
    <row r="42" spans="1:3">
      <c r="A42">
        <f t="shared" si="0"/>
        <v>0.039</v>
      </c>
      <c r="B42">
        <v>10000</v>
      </c>
      <c r="C42">
        <v>0.223361130832201</v>
      </c>
    </row>
    <row r="43" spans="1:3">
      <c r="A43">
        <f t="shared" si="0"/>
        <v>0.04</v>
      </c>
      <c r="B43">
        <v>10000</v>
      </c>
      <c r="C43">
        <v>0.223273494610402</v>
      </c>
    </row>
    <row r="44" spans="1:3">
      <c r="A44">
        <f t="shared" si="0"/>
        <v>0.041</v>
      </c>
      <c r="B44">
        <v>10000</v>
      </c>
      <c r="C44">
        <v>0.223191583740714</v>
      </c>
    </row>
    <row r="45" spans="1:3">
      <c r="A45">
        <f t="shared" si="0"/>
        <v>0.042</v>
      </c>
      <c r="B45">
        <v>10000</v>
      </c>
      <c r="C45">
        <v>0.223115863282433</v>
      </c>
    </row>
    <row r="46" spans="1:3">
      <c r="A46">
        <f t="shared" si="0"/>
        <v>0.043</v>
      </c>
      <c r="B46">
        <v>10000</v>
      </c>
      <c r="C46">
        <v>0.223046788813469</v>
      </c>
    </row>
    <row r="47" spans="1:3">
      <c r="A47">
        <f t="shared" si="0"/>
        <v>0.044</v>
      </c>
      <c r="B47">
        <v>10000</v>
      </c>
      <c r="C47">
        <v>0.222984806509884</v>
      </c>
    </row>
    <row r="48" spans="1:3">
      <c r="A48">
        <f t="shared" si="0"/>
        <v>0.045</v>
      </c>
      <c r="B48">
        <v>10000</v>
      </c>
      <c r="C48">
        <v>0.222930353225152</v>
      </c>
    </row>
    <row r="49" spans="1:3">
      <c r="A49">
        <f t="shared" si="0"/>
        <v>0.046</v>
      </c>
      <c r="B49">
        <v>10000</v>
      </c>
      <c r="C49">
        <v>0.222883856569152</v>
      </c>
    </row>
    <row r="50" spans="1:3">
      <c r="A50">
        <f t="shared" si="0"/>
        <v>0.047</v>
      </c>
      <c r="B50">
        <v>10000</v>
      </c>
      <c r="C50">
        <v>0.222845734986893</v>
      </c>
    </row>
    <row r="51" spans="1:3">
      <c r="A51">
        <f t="shared" si="0"/>
        <v>0.048</v>
      </c>
      <c r="B51">
        <v>10000</v>
      </c>
      <c r="C51">
        <v>0.222816397836968</v>
      </c>
    </row>
    <row r="52" spans="1:3">
      <c r="A52">
        <f t="shared" si="0"/>
        <v>0.049</v>
      </c>
      <c r="B52">
        <v>10000</v>
      </c>
      <c r="C52">
        <v>0.222796245469736</v>
      </c>
    </row>
    <row r="53" spans="1:3">
      <c r="A53">
        <f t="shared" si="0"/>
        <v>0.05</v>
      </c>
      <c r="B53">
        <v>10000</v>
      </c>
      <c r="C53">
        <v>0.22278566930524</v>
      </c>
    </row>
    <row r="54" spans="1:3">
      <c r="A54">
        <f t="shared" si="0"/>
        <v>0.051</v>
      </c>
      <c r="B54">
        <v>10000</v>
      </c>
      <c r="C54">
        <v>0.22278505191085</v>
      </c>
    </row>
    <row r="55" spans="1:3">
      <c r="A55">
        <f t="shared" si="0"/>
        <v>0.052</v>
      </c>
      <c r="B55">
        <v>10000</v>
      </c>
      <c r="C55">
        <v>0.222794767078639</v>
      </c>
    </row>
    <row r="56" spans="1:3">
      <c r="A56">
        <f t="shared" si="0"/>
        <v>0.053</v>
      </c>
      <c r="B56">
        <v>10000</v>
      </c>
      <c r="C56">
        <v>0.222815179902489</v>
      </c>
    </row>
    <row r="57" spans="1:3">
      <c r="A57">
        <f t="shared" si="0"/>
        <v>0.054</v>
      </c>
      <c r="B57">
        <v>10000</v>
      </c>
      <c r="C57">
        <v>0.222846646854926</v>
      </c>
    </row>
    <row r="58" spans="1:3">
      <c r="A58">
        <f t="shared" si="0"/>
        <v>0.055</v>
      </c>
      <c r="B58">
        <v>10000</v>
      </c>
      <c r="C58">
        <v>0.222889515863688</v>
      </c>
    </row>
    <row r="59" spans="1:3">
      <c r="A59">
        <f t="shared" si="0"/>
        <v>0.056</v>
      </c>
      <c r="B59">
        <v>10000</v>
      </c>
      <c r="C59">
        <v>0.222944126388022</v>
      </c>
    </row>
    <row r="60" spans="1:3">
      <c r="A60">
        <f t="shared" si="0"/>
        <v>0.057</v>
      </c>
      <c r="B60">
        <v>10000</v>
      </c>
      <c r="C60">
        <v>0.223010809494708</v>
      </c>
    </row>
    <row r="61" spans="1:3">
      <c r="A61">
        <f t="shared" si="0"/>
        <v>0.058</v>
      </c>
      <c r="B61">
        <v>10000</v>
      </c>
      <c r="C61">
        <v>0.223089887933821</v>
      </c>
    </row>
    <row r="62" spans="1:3">
      <c r="A62">
        <f t="shared" si="0"/>
        <v>0.059</v>
      </c>
      <c r="B62">
        <v>10000</v>
      </c>
      <c r="C62">
        <v>0.223181676214217</v>
      </c>
    </row>
    <row r="63" spans="1:3">
      <c r="A63">
        <f t="shared" si="0"/>
        <v>0.06</v>
      </c>
      <c r="B63">
        <v>10000</v>
      </c>
      <c r="C63">
        <v>0.22328648067875</v>
      </c>
    </row>
    <row r="64" spans="1:3">
      <c r="A64">
        <f t="shared" si="0"/>
        <v>0.061</v>
      </c>
      <c r="B64">
        <v>10000</v>
      </c>
      <c r="C64">
        <v>0.223404599579221</v>
      </c>
    </row>
    <row r="65" spans="1:3">
      <c r="A65">
        <f t="shared" si="0"/>
        <v>0.062</v>
      </c>
      <c r="B65">
        <v>10000</v>
      </c>
      <c r="C65">
        <v>0.223536323151061</v>
      </c>
    </row>
    <row r="66" spans="1:3">
      <c r="A66">
        <f t="shared" si="0"/>
        <v>0.063</v>
      </c>
      <c r="B66">
        <v>10000</v>
      </c>
      <c r="C66">
        <v>0.223681933687732</v>
      </c>
    </row>
    <row r="67" spans="1:3">
      <c r="A67">
        <f t="shared" si="0"/>
        <v>0.064</v>
      </c>
      <c r="B67">
        <v>10000</v>
      </c>
      <c r="C67">
        <v>0.223841705614877</v>
      </c>
    </row>
    <row r="68" spans="1:3">
      <c r="A68">
        <f t="shared" si="0"/>
        <v>0.065</v>
      </c>
      <c r="B68">
        <v>10000</v>
      </c>
      <c r="C68">
        <v>0.224015905564181</v>
      </c>
    </row>
    <row r="69" spans="1:3">
      <c r="A69">
        <f t="shared" ref="A69:A132" si="10">A68+0.001</f>
        <v>0.066</v>
      </c>
      <c r="B69">
        <v>10000</v>
      </c>
      <c r="C69">
        <v>0.224204792446977</v>
      </c>
    </row>
    <row r="70" spans="1:3">
      <c r="A70">
        <f t="shared" si="10"/>
        <v>0.067</v>
      </c>
      <c r="B70">
        <v>10000</v>
      </c>
      <c r="C70">
        <v>0.224408617527574</v>
      </c>
    </row>
    <row r="71" spans="1:3">
      <c r="A71">
        <f t="shared" si="10"/>
        <v>0.068</v>
      </c>
      <c r="B71">
        <v>10000</v>
      </c>
      <c r="C71">
        <v>0.22462762449632</v>
      </c>
    </row>
    <row r="72" spans="1:3">
      <c r="A72">
        <f t="shared" si="10"/>
        <v>0.069</v>
      </c>
      <c r="B72">
        <v>10000</v>
      </c>
      <c r="C72">
        <v>0.224862049542391</v>
      </c>
    </row>
    <row r="73" spans="1:3">
      <c r="A73">
        <f t="shared" si="10"/>
        <v>0.07</v>
      </c>
      <c r="B73">
        <v>10000</v>
      </c>
      <c r="C73">
        <v>0.225112121426315</v>
      </c>
    </row>
    <row r="74" spans="1:3">
      <c r="A74">
        <f t="shared" si="10"/>
        <v>0.071</v>
      </c>
      <c r="B74">
        <v>10000</v>
      </c>
      <c r="C74">
        <v>0.225378061552224</v>
      </c>
    </row>
    <row r="75" spans="1:3">
      <c r="A75">
        <f t="shared" si="10"/>
        <v>0.072</v>
      </c>
      <c r="B75">
        <v>10000</v>
      </c>
      <c r="C75">
        <v>0.225660084039835</v>
      </c>
    </row>
    <row r="76" spans="1:3">
      <c r="A76">
        <f t="shared" si="10"/>
        <v>0.0730000000000001</v>
      </c>
      <c r="B76">
        <v>10000</v>
      </c>
      <c r="C76">
        <v>0.225958395796165</v>
      </c>
    </row>
    <row r="77" spans="1:3">
      <c r="A77">
        <f t="shared" si="10"/>
        <v>0.0740000000000001</v>
      </c>
      <c r="B77">
        <v>10000</v>
      </c>
      <c r="C77">
        <v>0.226273196586972</v>
      </c>
    </row>
    <row r="78" spans="1:3">
      <c r="A78">
        <f t="shared" si="10"/>
        <v>0.0750000000000001</v>
      </c>
      <c r="B78">
        <v>10000</v>
      </c>
      <c r="C78">
        <v>0.226604679107931</v>
      </c>
    </row>
    <row r="79" spans="1:3">
      <c r="A79">
        <f t="shared" si="10"/>
        <v>0.0760000000000001</v>
      </c>
      <c r="B79">
        <v>10000</v>
      </c>
      <c r="C79">
        <v>0.226953029055535</v>
      </c>
    </row>
    <row r="80" spans="1:3">
      <c r="A80">
        <f t="shared" si="10"/>
        <v>0.0770000000000001</v>
      </c>
      <c r="B80">
        <v>10000</v>
      </c>
      <c r="C80">
        <v>0.227318425197732</v>
      </c>
    </row>
    <row r="81" spans="1:3">
      <c r="A81">
        <f t="shared" si="10"/>
        <v>0.0780000000000001</v>
      </c>
      <c r="B81">
        <v>10000</v>
      </c>
      <c r="C81">
        <v>0.227701039444288</v>
      </c>
    </row>
    <row r="82" spans="1:3">
      <c r="A82">
        <f t="shared" si="10"/>
        <v>0.0790000000000001</v>
      </c>
      <c r="B82">
        <v>10000</v>
      </c>
      <c r="C82">
        <v>0.228101036916884</v>
      </c>
    </row>
    <row r="83" spans="1:3">
      <c r="A83">
        <f t="shared" si="10"/>
        <v>0.0800000000000001</v>
      </c>
      <c r="B83">
        <v>10000</v>
      </c>
      <c r="C83">
        <v>0.228518576018939</v>
      </c>
    </row>
    <row r="84" spans="1:3">
      <c r="A84">
        <f t="shared" si="10"/>
        <v>0.0810000000000001</v>
      </c>
      <c r="B84">
        <v>10000</v>
      </c>
      <c r="C84">
        <v>0.228953808505165</v>
      </c>
    </row>
    <row r="85" spans="1:3">
      <c r="A85">
        <f t="shared" si="10"/>
        <v>0.0820000000000001</v>
      </c>
      <c r="B85">
        <v>10000</v>
      </c>
      <c r="C85">
        <v>0.229406879550858</v>
      </c>
    </row>
    <row r="86" spans="1:3">
      <c r="A86">
        <f t="shared" si="10"/>
        <v>0.0830000000000001</v>
      </c>
      <c r="B86">
        <v>10000</v>
      </c>
      <c r="C86">
        <v>0.229877927820909</v>
      </c>
    </row>
    <row r="87" spans="1:3">
      <c r="A87">
        <f t="shared" si="10"/>
        <v>0.0840000000000001</v>
      </c>
      <c r="B87">
        <v>10000</v>
      </c>
      <c r="C87">
        <v>0.230367085538555</v>
      </c>
    </row>
    <row r="88" spans="1:3">
      <c r="A88">
        <f t="shared" si="10"/>
        <v>0.0850000000000001</v>
      </c>
      <c r="B88">
        <v>10000</v>
      </c>
      <c r="C88">
        <v>0.230874478553852</v>
      </c>
    </row>
    <row r="89" spans="1:3">
      <c r="A89">
        <f t="shared" si="10"/>
        <v>0.0860000000000001</v>
      </c>
      <c r="B89">
        <v>10000</v>
      </c>
      <c r="C89">
        <v>0.231400226411885</v>
      </c>
    </row>
    <row r="90" spans="1:3">
      <c r="A90">
        <f t="shared" si="10"/>
        <v>0.0870000000000001</v>
      </c>
      <c r="B90">
        <v>10000</v>
      </c>
      <c r="C90">
        <v>0.231944442420708</v>
      </c>
    </row>
    <row r="91" spans="1:3">
      <c r="A91">
        <f t="shared" si="10"/>
        <v>0.0880000000000001</v>
      </c>
      <c r="B91">
        <v>10000</v>
      </c>
      <c r="C91">
        <v>0.232507233719006</v>
      </c>
    </row>
    <row r="92" spans="1:3">
      <c r="A92">
        <f t="shared" si="10"/>
        <v>0.0890000000000001</v>
      </c>
      <c r="B92">
        <v>10000</v>
      </c>
      <c r="C92">
        <v>0.2330887013435</v>
      </c>
    </row>
    <row r="93" spans="1:3">
      <c r="A93">
        <f t="shared" si="10"/>
        <v>0.0900000000000001</v>
      </c>
      <c r="B93">
        <v>10000</v>
      </c>
      <c r="C93">
        <v>0.233688940296073</v>
      </c>
    </row>
    <row r="94" spans="1:3">
      <c r="A94">
        <f t="shared" si="10"/>
        <v>0.0910000000000001</v>
      </c>
      <c r="B94">
        <v>10000</v>
      </c>
      <c r="C94">
        <v>0.234308039610628</v>
      </c>
    </row>
    <row r="95" spans="1:3">
      <c r="A95">
        <f t="shared" si="10"/>
        <v>0.0920000000000001</v>
      </c>
      <c r="B95">
        <v>10000</v>
      </c>
      <c r="C95">
        <v>0.234946082419681</v>
      </c>
    </row>
    <row r="96" spans="1:3">
      <c r="A96">
        <f t="shared" si="10"/>
        <v>0.0930000000000001</v>
      </c>
      <c r="B96">
        <v>10000</v>
      </c>
      <c r="C96">
        <v>0.235603146020678</v>
      </c>
    </row>
    <row r="97" spans="1:3">
      <c r="A97">
        <f t="shared" si="10"/>
        <v>0.0940000000000001</v>
      </c>
      <c r="B97">
        <v>10000</v>
      </c>
      <c r="C97">
        <v>0.236279301942046</v>
      </c>
    </row>
    <row r="98" spans="1:3">
      <c r="A98">
        <f t="shared" si="10"/>
        <v>0.0950000000000001</v>
      </c>
      <c r="B98">
        <v>10000</v>
      </c>
      <c r="C98">
        <v>0.236974616008976</v>
      </c>
    </row>
    <row r="99" spans="1:3">
      <c r="A99">
        <f t="shared" si="10"/>
        <v>0.0960000000000001</v>
      </c>
      <c r="B99">
        <v>10000</v>
      </c>
      <c r="C99">
        <v>0.23768914840893</v>
      </c>
    </row>
    <row r="100" spans="1:3">
      <c r="A100">
        <f t="shared" si="10"/>
        <v>0.0970000000000001</v>
      </c>
      <c r="B100">
        <v>10000</v>
      </c>
      <c r="C100">
        <v>0.238422953756887</v>
      </c>
    </row>
    <row r="101" spans="1:3">
      <c r="A101">
        <f t="shared" si="10"/>
        <v>0.0980000000000001</v>
      </c>
      <c r="B101">
        <v>10000</v>
      </c>
      <c r="C101">
        <v>0.23917608116031</v>
      </c>
    </row>
    <row r="102" spans="1:3">
      <c r="A102">
        <f t="shared" si="10"/>
        <v>0.0990000000000001</v>
      </c>
      <c r="B102">
        <v>10000</v>
      </c>
      <c r="C102">
        <v>0.239948574283853</v>
      </c>
    </row>
    <row r="103" spans="1:3">
      <c r="A103">
        <f t="shared" si="10"/>
        <v>0.1</v>
      </c>
      <c r="B103">
        <v>10000</v>
      </c>
      <c r="C103">
        <v>0.24074047141379</v>
      </c>
    </row>
    <row r="104" spans="1:3">
      <c r="A104">
        <f t="shared" si="10"/>
        <v>0.101</v>
      </c>
      <c r="B104">
        <v>10000</v>
      </c>
      <c r="C104">
        <v>0.241551805522177</v>
      </c>
    </row>
    <row r="105" spans="1:3">
      <c r="A105">
        <f t="shared" si="10"/>
        <v>0.102</v>
      </c>
      <c r="B105">
        <v>10000</v>
      </c>
      <c r="C105">
        <v>0.24238260433075</v>
      </c>
    </row>
    <row r="106" spans="1:3">
      <c r="A106">
        <f t="shared" si="10"/>
        <v>0.103</v>
      </c>
      <c r="B106">
        <v>10000</v>
      </c>
      <c r="C106">
        <v>0.243232890374544</v>
      </c>
    </row>
    <row r="107" spans="1:3">
      <c r="A107">
        <f t="shared" si="10"/>
        <v>0.104</v>
      </c>
      <c r="B107">
        <v>10000</v>
      </c>
      <c r="C107">
        <v>0.244102681065249</v>
      </c>
    </row>
    <row r="108" spans="1:3">
      <c r="A108">
        <f t="shared" si="10"/>
        <v>0.105</v>
      </c>
      <c r="B108">
        <v>10000</v>
      </c>
      <c r="C108">
        <v>0.244991988754292</v>
      </c>
    </row>
    <row r="109" spans="1:3">
      <c r="A109">
        <f t="shared" si="10"/>
        <v>0.106</v>
      </c>
      <c r="B109">
        <v>10000</v>
      </c>
      <c r="C109">
        <v>0.245900820795657</v>
      </c>
    </row>
    <row r="110" spans="1:3">
      <c r="A110">
        <f t="shared" si="10"/>
        <v>0.107</v>
      </c>
      <c r="B110">
        <v>10000</v>
      </c>
      <c r="C110">
        <v>0.246829179608422</v>
      </c>
    </row>
    <row r="111" spans="1:3">
      <c r="A111">
        <f t="shared" si="10"/>
        <v>0.108</v>
      </c>
      <c r="B111">
        <v>10000</v>
      </c>
      <c r="C111">
        <v>0.247777062739042</v>
      </c>
    </row>
    <row r="112" spans="1:3">
      <c r="A112">
        <f t="shared" si="10"/>
        <v>0.109</v>
      </c>
      <c r="B112">
        <v>10000</v>
      </c>
      <c r="C112">
        <v>0.24874446292335</v>
      </c>
    </row>
    <row r="113" spans="1:3">
      <c r="A113">
        <f t="shared" si="10"/>
        <v>0.11</v>
      </c>
      <c r="B113">
        <v>10000</v>
      </c>
      <c r="C113">
        <v>0.249731368148294</v>
      </c>
    </row>
    <row r="114" spans="1:3">
      <c r="A114">
        <f t="shared" si="10"/>
        <v>0.111</v>
      </c>
      <c r="B114">
        <v>10000</v>
      </c>
      <c r="C114">
        <v>0.250737761713405</v>
      </c>
    </row>
    <row r="115" spans="1:3">
      <c r="A115">
        <f t="shared" si="10"/>
        <v>0.112</v>
      </c>
      <c r="B115">
        <v>10000</v>
      </c>
      <c r="C115">
        <v>0.25176362229199</v>
      </c>
    </row>
    <row r="116" spans="1:3">
      <c r="A116">
        <f t="shared" si="10"/>
        <v>0.113</v>
      </c>
      <c r="B116">
        <v>10000</v>
      </c>
      <c r="C116">
        <v>0.252808923992064</v>
      </c>
    </row>
    <row r="117" spans="1:3">
      <c r="A117">
        <f t="shared" si="10"/>
        <v>0.114</v>
      </c>
      <c r="B117">
        <v>10000</v>
      </c>
      <c r="C117">
        <v>0.253873636417003</v>
      </c>
    </row>
    <row r="118" spans="1:3">
      <c r="A118">
        <f t="shared" si="10"/>
        <v>0.115</v>
      </c>
      <c r="B118">
        <v>10000</v>
      </c>
      <c r="C118">
        <v>0.254957724725937</v>
      </c>
    </row>
    <row r="119" spans="1:3">
      <c r="A119">
        <f t="shared" si="10"/>
        <v>0.116</v>
      </c>
      <c r="B119">
        <v>10000</v>
      </c>
      <c r="C119">
        <v>0.256061149693861</v>
      </c>
    </row>
    <row r="120" spans="1:3">
      <c r="A120">
        <f t="shared" si="10"/>
        <v>0.117</v>
      </c>
      <c r="B120">
        <v>10000</v>
      </c>
      <c r="C120">
        <v>0.257183867771491</v>
      </c>
    </row>
    <row r="121" spans="1:3">
      <c r="A121">
        <f t="shared" si="10"/>
        <v>0.118</v>
      </c>
      <c r="B121">
        <v>10000</v>
      </c>
      <c r="C121">
        <v>0.258325831144836</v>
      </c>
    </row>
    <row r="122" spans="1:3">
      <c r="A122">
        <f t="shared" si="10"/>
        <v>0.119</v>
      </c>
      <c r="B122">
        <v>10000</v>
      </c>
      <c r="C122">
        <v>0.259486987794513</v>
      </c>
    </row>
    <row r="123" spans="1:3">
      <c r="A123">
        <f t="shared" si="10"/>
        <v>0.12</v>
      </c>
      <c r="B123">
        <v>10000</v>
      </c>
      <c r="C123">
        <v>0.260667281554784</v>
      </c>
    </row>
    <row r="124" spans="1:3">
      <c r="A124">
        <f t="shared" si="10"/>
        <v>0.121</v>
      </c>
      <c r="B124">
        <v>10000</v>
      </c>
      <c r="C124">
        <v>0.261866652172325</v>
      </c>
    </row>
    <row r="125" spans="1:3">
      <c r="A125">
        <f t="shared" si="10"/>
        <v>0.122</v>
      </c>
      <c r="B125">
        <v>10000</v>
      </c>
      <c r="C125">
        <v>0.263085035364728</v>
      </c>
    </row>
    <row r="126" spans="1:3">
      <c r="A126">
        <f t="shared" si="10"/>
        <v>0.123</v>
      </c>
      <c r="B126">
        <v>10000</v>
      </c>
      <c r="C126">
        <v>0.264322362878732</v>
      </c>
    </row>
    <row r="127" spans="1:3">
      <c r="A127">
        <f t="shared" si="10"/>
        <v>0.124</v>
      </c>
      <c r="B127">
        <v>10000</v>
      </c>
      <c r="C127">
        <v>0.265578562548181</v>
      </c>
    </row>
    <row r="128" spans="1:3">
      <c r="A128">
        <f t="shared" si="10"/>
        <v>0.125</v>
      </c>
      <c r="B128">
        <v>10000</v>
      </c>
      <c r="C128">
        <v>0.266853558351719</v>
      </c>
    </row>
    <row r="129" spans="1:3">
      <c r="A129">
        <f t="shared" si="10"/>
        <v>0.126</v>
      </c>
      <c r="B129">
        <v>10000</v>
      </c>
      <c r="C129">
        <v>0.268147270470211</v>
      </c>
    </row>
    <row r="130" spans="1:3">
      <c r="A130">
        <f t="shared" si="10"/>
        <v>0.127</v>
      </c>
      <c r="B130">
        <v>10000</v>
      </c>
      <c r="C130">
        <v>0.26945961534389</v>
      </c>
    </row>
    <row r="131" spans="1:3">
      <c r="A131">
        <f t="shared" si="10"/>
        <v>0.128</v>
      </c>
      <c r="B131">
        <v>10000</v>
      </c>
      <c r="C131">
        <v>0.27079050572925</v>
      </c>
    </row>
    <row r="132" spans="1:3">
      <c r="A132">
        <f t="shared" si="10"/>
        <v>0.129</v>
      </c>
      <c r="B132">
        <v>10000</v>
      </c>
      <c r="C132">
        <v>0.272139850755646</v>
      </c>
    </row>
    <row r="133" spans="1:3">
      <c r="A133">
        <f t="shared" ref="A133:A196" si="11">A132+0.001</f>
        <v>0.13</v>
      </c>
      <c r="B133">
        <v>10000</v>
      </c>
      <c r="C133">
        <v>0.273507555981648</v>
      </c>
    </row>
    <row r="134" spans="1:3">
      <c r="A134">
        <f t="shared" si="11"/>
        <v>0.131</v>
      </c>
      <c r="B134">
        <v>10000</v>
      </c>
      <c r="C134">
        <v>0.274893523451109</v>
      </c>
    </row>
    <row r="135" spans="1:3">
      <c r="A135">
        <f t="shared" si="11"/>
        <v>0.132</v>
      </c>
      <c r="B135">
        <v>10000</v>
      </c>
      <c r="C135">
        <v>0.276297651748969</v>
      </c>
    </row>
    <row r="136" spans="1:3">
      <c r="A136">
        <f t="shared" si="11"/>
        <v>0.133</v>
      </c>
      <c r="B136">
        <v>10000</v>
      </c>
      <c r="C136">
        <v>0.27771983605679</v>
      </c>
    </row>
    <row r="137" spans="1:3">
      <c r="A137">
        <f t="shared" si="11"/>
        <v>0.134</v>
      </c>
      <c r="B137">
        <v>10000</v>
      </c>
      <c r="C137">
        <v>0.279159968208023</v>
      </c>
    </row>
    <row r="138" spans="1:3">
      <c r="A138">
        <f t="shared" si="11"/>
        <v>0.135</v>
      </c>
      <c r="B138">
        <v>10000</v>
      </c>
      <c r="C138">
        <v>0.280617936742997</v>
      </c>
    </row>
    <row r="139" spans="1:3">
      <c r="A139">
        <f t="shared" si="11"/>
        <v>0.136</v>
      </c>
      <c r="B139">
        <v>10000</v>
      </c>
      <c r="C139">
        <v>0.28209362696365</v>
      </c>
    </row>
    <row r="140" spans="1:3">
      <c r="A140">
        <f t="shared" si="11"/>
        <v>0.137</v>
      </c>
      <c r="B140">
        <v>10000</v>
      </c>
      <c r="C140">
        <v>0.283586920987983</v>
      </c>
    </row>
    <row r="141" spans="1:3">
      <c r="A141">
        <f t="shared" si="11"/>
        <v>0.138</v>
      </c>
      <c r="B141">
        <v>10000</v>
      </c>
      <c r="C141">
        <v>0.285097697804244</v>
      </c>
    </row>
    <row r="142" spans="1:3">
      <c r="A142">
        <f t="shared" si="11"/>
        <v>0.139</v>
      </c>
      <c r="B142">
        <v>10000</v>
      </c>
      <c r="C142">
        <v>0.286625833324846</v>
      </c>
    </row>
    <row r="143" spans="1:3">
      <c r="A143">
        <f t="shared" si="11"/>
        <v>0.14</v>
      </c>
      <c r="B143">
        <v>10000</v>
      </c>
      <c r="C143">
        <v>0.288171200440015</v>
      </c>
    </row>
    <row r="144" spans="1:3">
      <c r="A144">
        <f t="shared" si="11"/>
        <v>0.141</v>
      </c>
      <c r="B144">
        <v>10000.000118</v>
      </c>
      <c r="C144">
        <v>0.289733669071164</v>
      </c>
    </row>
    <row r="145" spans="1:3">
      <c r="A145">
        <f t="shared" si="11"/>
        <v>0.142</v>
      </c>
      <c r="B145">
        <v>9751.30551599997</v>
      </c>
      <c r="C145">
        <v>0.291313106224002</v>
      </c>
    </row>
    <row r="146" spans="1:3">
      <c r="A146">
        <f t="shared" si="11"/>
        <v>0.143</v>
      </c>
      <c r="B146">
        <v>9502.61091399997</v>
      </c>
      <c r="C146">
        <v>0.292909376041372</v>
      </c>
    </row>
    <row r="147" spans="1:3">
      <c r="A147">
        <f t="shared" si="11"/>
        <v>0.144</v>
      </c>
      <c r="B147">
        <v>9253.91631199997</v>
      </c>
      <c r="C147">
        <v>0.294522339855819</v>
      </c>
    </row>
    <row r="148" spans="1:3">
      <c r="A148">
        <f t="shared" si="11"/>
        <v>0.145</v>
      </c>
      <c r="B148">
        <v>9005.22170999997</v>
      </c>
      <c r="C148">
        <v>0.296151856241888</v>
      </c>
    </row>
    <row r="149" spans="1:3">
      <c r="A149">
        <f t="shared" si="11"/>
        <v>0.146</v>
      </c>
      <c r="B149">
        <v>8756.52710799997</v>
      </c>
      <c r="C149">
        <v>0.297797781068153</v>
      </c>
    </row>
    <row r="150" spans="1:3">
      <c r="A150">
        <f t="shared" si="11"/>
        <v>0.147</v>
      </c>
      <c r="B150">
        <v>8507.83250599997</v>
      </c>
      <c r="C150">
        <v>0.299459967548976</v>
      </c>
    </row>
    <row r="151" spans="1:3">
      <c r="A151">
        <f t="shared" si="11"/>
        <v>0.148</v>
      </c>
      <c r="B151">
        <v>8259.13790399997</v>
      </c>
      <c r="C151">
        <v>0.301138266295998</v>
      </c>
    </row>
    <row r="152" spans="1:3">
      <c r="A152">
        <f t="shared" si="11"/>
        <v>0.149</v>
      </c>
      <c r="B152">
        <v>8010.44330199997</v>
      </c>
      <c r="C152">
        <v>0.302832525369356</v>
      </c>
    </row>
    <row r="153" spans="1:3">
      <c r="A153">
        <f t="shared" si="11"/>
        <v>0.15</v>
      </c>
      <c r="B153">
        <v>7761.74869999997</v>
      </c>
      <c r="C153">
        <v>0.304542590328637</v>
      </c>
    </row>
    <row r="154" spans="1:3">
      <c r="A154">
        <f t="shared" si="11"/>
        <v>0.151</v>
      </c>
      <c r="B154">
        <v>7513.05409799997</v>
      </c>
      <c r="C154">
        <v>0.306268304283554</v>
      </c>
    </row>
    <row r="155" spans="1:3">
      <c r="A155">
        <f t="shared" si="11"/>
        <v>0.152</v>
      </c>
      <c r="B155">
        <v>7264.35949599997</v>
      </c>
      <c r="C155">
        <v>0.308009507944361</v>
      </c>
    </row>
    <row r="156" spans="1:3">
      <c r="A156">
        <f t="shared" si="11"/>
        <v>0.153</v>
      </c>
      <c r="B156">
        <v>7015.66489399997</v>
      </c>
      <c r="C156">
        <v>0.309766039671993</v>
      </c>
    </row>
    <row r="157" spans="1:3">
      <c r="A157">
        <f t="shared" si="11"/>
        <v>0.154</v>
      </c>
      <c r="B157">
        <v>6766.97029199997</v>
      </c>
      <c r="C157">
        <v>0.311537735527937</v>
      </c>
    </row>
    <row r="158" spans="1:3">
      <c r="A158">
        <f t="shared" si="11"/>
        <v>0.155</v>
      </c>
      <c r="B158">
        <v>6518.27568999997</v>
      </c>
      <c r="C158">
        <v>0.313324429323835</v>
      </c>
    </row>
    <row r="159" spans="1:3">
      <c r="A159">
        <f t="shared" si="11"/>
        <v>0.156</v>
      </c>
      <c r="B159">
        <v>6269.58108799997</v>
      </c>
      <c r="C159">
        <v>0.315125952670814</v>
      </c>
    </row>
    <row r="160" spans="1:3">
      <c r="A160">
        <f t="shared" si="11"/>
        <v>0.157</v>
      </c>
      <c r="B160">
        <v>6020.88648599997</v>
      </c>
      <c r="C160">
        <v>0.316942135028553</v>
      </c>
    </row>
    <row r="161" spans="1:3">
      <c r="A161">
        <f t="shared" si="11"/>
        <v>0.158</v>
      </c>
      <c r="B161">
        <v>5772.19188399997</v>
      </c>
      <c r="C161">
        <v>0.318772803754073</v>
      </c>
    </row>
    <row r="162" spans="1:3">
      <c r="A162">
        <f t="shared" si="11"/>
        <v>0.159</v>
      </c>
      <c r="B162">
        <v>5523.49728199997</v>
      </c>
      <c r="C162">
        <v>0.320617784150259</v>
      </c>
    </row>
    <row r="163" spans="1:3">
      <c r="A163">
        <f t="shared" si="11"/>
        <v>0.16</v>
      </c>
      <c r="B163">
        <v>5274.80267999997</v>
      </c>
      <c r="C163">
        <v>0.322476899514119</v>
      </c>
    </row>
    <row r="164" spans="1:3">
      <c r="A164">
        <f t="shared" si="11"/>
        <v>0.161</v>
      </c>
      <c r="B164">
        <v>5026.10807799997</v>
      </c>
      <c r="C164">
        <v>0.324349971184763</v>
      </c>
    </row>
    <row r="165" spans="1:3">
      <c r="A165">
        <f t="shared" si="11"/>
        <v>0.162</v>
      </c>
      <c r="B165">
        <v>4777.41347599997</v>
      </c>
      <c r="C165">
        <v>0.326236818591122</v>
      </c>
    </row>
    <row r="166" spans="1:3">
      <c r="A166">
        <f t="shared" si="11"/>
        <v>0.163</v>
      </c>
      <c r="B166">
        <v>4528.71887399997</v>
      </c>
      <c r="C166">
        <v>0.328137259299386</v>
      </c>
    </row>
    <row r="167" spans="1:3">
      <c r="A167">
        <f t="shared" si="11"/>
        <v>0.164</v>
      </c>
      <c r="B167">
        <v>4280.02427199997</v>
      </c>
      <c r="C167">
        <v>0.330051109060189</v>
      </c>
    </row>
    <row r="168" spans="1:3">
      <c r="A168">
        <f t="shared" si="11"/>
        <v>0.165</v>
      </c>
      <c r="B168">
        <v>4031.32966999997</v>
      </c>
      <c r="C168">
        <v>0.331978181855504</v>
      </c>
    </row>
    <row r="169" spans="1:3">
      <c r="A169">
        <f t="shared" si="11"/>
        <v>0.166</v>
      </c>
      <c r="B169">
        <v>3782.63506799997</v>
      </c>
      <c r="C169">
        <v>0.333918289945289</v>
      </c>
    </row>
    <row r="170" spans="1:3">
      <c r="A170">
        <f t="shared" si="11"/>
        <v>0.167</v>
      </c>
      <c r="B170">
        <v>3533.94046599997</v>
      </c>
      <c r="C170">
        <v>0.335871243913845</v>
      </c>
    </row>
    <row r="171" spans="1:3">
      <c r="A171">
        <f t="shared" si="11"/>
        <v>0.168</v>
      </c>
      <c r="B171">
        <v>3285.24586399997</v>
      </c>
      <c r="C171">
        <v>0.337836852715917</v>
      </c>
    </row>
    <row r="172" spans="1:3">
      <c r="A172">
        <f t="shared" si="11"/>
        <v>0.169</v>
      </c>
      <c r="B172">
        <v>3036.55126199997</v>
      </c>
      <c r="C172">
        <v>0.339814923722521</v>
      </c>
    </row>
    <row r="173" spans="1:3">
      <c r="A173">
        <f t="shared" si="11"/>
        <v>0.17</v>
      </c>
      <c r="B173">
        <v>2787.85665999997</v>
      </c>
      <c r="C173">
        <v>0.3418052627665</v>
      </c>
    </row>
    <row r="174" spans="1:3">
      <c r="A174">
        <f t="shared" si="11"/>
        <v>0.171</v>
      </c>
      <c r="B174">
        <v>2539.16205799997</v>
      </c>
      <c r="C174">
        <v>0.343807674187811</v>
      </c>
    </row>
    <row r="175" spans="1:3">
      <c r="A175">
        <f t="shared" si="11"/>
        <v>0.172</v>
      </c>
      <c r="B175">
        <v>2290.46745599997</v>
      </c>
      <c r="C175">
        <v>0.345821960878547</v>
      </c>
    </row>
    <row r="176" spans="1:3">
      <c r="A176">
        <f t="shared" si="11"/>
        <v>0.173</v>
      </c>
      <c r="B176">
        <v>2041.77285399996</v>
      </c>
      <c r="C176">
        <v>0.347847924327678</v>
      </c>
    </row>
    <row r="177" spans="1:3">
      <c r="A177">
        <f t="shared" si="11"/>
        <v>0.174</v>
      </c>
      <c r="B177">
        <v>1793.07825199996</v>
      </c>
      <c r="C177">
        <v>0.349885364665539</v>
      </c>
    </row>
    <row r="178" spans="1:3">
      <c r="A178">
        <f t="shared" si="11"/>
        <v>0.175</v>
      </c>
      <c r="B178">
        <v>1544.38364999996</v>
      </c>
      <c r="C178">
        <v>0.351934080708032</v>
      </c>
    </row>
    <row r="179" spans="1:3">
      <c r="A179">
        <f t="shared" si="11"/>
        <v>0.176</v>
      </c>
      <c r="B179">
        <v>1295.68904799996</v>
      </c>
      <c r="C179">
        <v>0.353993870000569</v>
      </c>
    </row>
    <row r="180" spans="1:3">
      <c r="A180">
        <f t="shared" si="11"/>
        <v>0.177</v>
      </c>
      <c r="B180">
        <v>1046.99444599996</v>
      </c>
      <c r="C180">
        <v>0.35606452886174</v>
      </c>
    </row>
    <row r="181" spans="1:3">
      <c r="A181">
        <f t="shared" si="11"/>
        <v>0.178</v>
      </c>
      <c r="B181">
        <v>798.299843999964</v>
      </c>
      <c r="C181">
        <v>0.358145852426715</v>
      </c>
    </row>
    <row r="182" spans="1:3">
      <c r="A182">
        <f t="shared" si="11"/>
        <v>0.179</v>
      </c>
      <c r="B182">
        <v>549.605241999963</v>
      </c>
      <c r="C182">
        <v>0.360237634690373</v>
      </c>
    </row>
    <row r="183" spans="1:3">
      <c r="A183">
        <f t="shared" si="11"/>
        <v>0.18</v>
      </c>
      <c r="B183">
        <v>300.910639999963</v>
      </c>
      <c r="C183">
        <v>0.362339668550163</v>
      </c>
    </row>
    <row r="184" spans="1:3">
      <c r="A184">
        <f t="shared" si="11"/>
        <v>0.181</v>
      </c>
      <c r="B184">
        <v>54.6065941471938</v>
      </c>
      <c r="C184">
        <v>0.364451745848696</v>
      </c>
    </row>
    <row r="185" spans="1:3">
      <c r="A185">
        <f t="shared" si="11"/>
        <v>0.182</v>
      </c>
      <c r="B185">
        <v>54.2166374831817</v>
      </c>
      <c r="C185">
        <v>0.366573657416068</v>
      </c>
    </row>
    <row r="186" spans="1:3">
      <c r="A186">
        <f t="shared" si="11"/>
        <v>0.183</v>
      </c>
      <c r="B186">
        <v>53.8302998852278</v>
      </c>
      <c r="C186">
        <v>0.368705193111908</v>
      </c>
    </row>
    <row r="187" spans="1:3">
      <c r="A187">
        <f t="shared" si="11"/>
        <v>0.184</v>
      </c>
      <c r="B187">
        <v>53.4475583917998</v>
      </c>
      <c r="C187">
        <v>0.370846141867165</v>
      </c>
    </row>
    <row r="188" spans="1:3">
      <c r="A188">
        <f t="shared" si="11"/>
        <v>0.185</v>
      </c>
      <c r="B188">
        <v>53.0683901158487</v>
      </c>
      <c r="C188">
        <v>0.372996291725615</v>
      </c>
    </row>
    <row r="189" spans="1:3">
      <c r="A189">
        <f t="shared" si="11"/>
        <v>0.186</v>
      </c>
      <c r="B189">
        <v>52.6927722448092</v>
      </c>
      <c r="C189">
        <v>0.37515542988511</v>
      </c>
    </row>
    <row r="190" spans="1:3">
      <c r="A190">
        <f t="shared" si="11"/>
        <v>0.187</v>
      </c>
      <c r="B190">
        <v>52.3206820405993</v>
      </c>
      <c r="C190">
        <v>0.377323342738549</v>
      </c>
    </row>
    <row r="191" spans="1:3">
      <c r="A191">
        <f t="shared" si="11"/>
        <v>0.188</v>
      </c>
      <c r="B191">
        <v>51.9520968396206</v>
      </c>
      <c r="C191">
        <v>0.379499815914579</v>
      </c>
    </row>
    <row r="192" spans="1:3">
      <c r="A192">
        <f t="shared" si="11"/>
        <v>0.189</v>
      </c>
      <c r="B192">
        <v>51.586994052758</v>
      </c>
      <c r="C192">
        <v>0.381684634318035</v>
      </c>
    </row>
    <row r="193" spans="1:3">
      <c r="A193">
        <f t="shared" si="11"/>
        <v>0.19</v>
      </c>
      <c r="B193">
        <v>51.22535116538</v>
      </c>
      <c r="C193">
        <v>0.383877582170098</v>
      </c>
    </row>
    <row r="194" spans="1:3">
      <c r="A194">
        <f t="shared" si="11"/>
        <v>0.191</v>
      </c>
      <c r="B194">
        <v>50.8671457373385</v>
      </c>
      <c r="C194">
        <v>0.386078443048195</v>
      </c>
    </row>
    <row r="195" spans="1:3">
      <c r="A195">
        <f t="shared" si="11"/>
        <v>0.192</v>
      </c>
      <c r="B195">
        <v>50.5123554029691</v>
      </c>
      <c r="C195">
        <v>0.388286999925621</v>
      </c>
    </row>
    <row r="196" spans="1:3">
      <c r="A196">
        <f t="shared" si="11"/>
        <v>0.193</v>
      </c>
      <c r="B196">
        <v>50.1609578710904</v>
      </c>
      <c r="C196">
        <v>0.390503035210895</v>
      </c>
    </row>
    <row r="197" spans="1:3">
      <c r="A197">
        <f t="shared" ref="A197:A260" si="12">A196+0.001</f>
        <v>0.194</v>
      </c>
      <c r="B197">
        <v>49.8129309250051</v>
      </c>
      <c r="C197">
        <v>0.392726330786849</v>
      </c>
    </row>
    <row r="198" spans="1:3">
      <c r="A198">
        <f t="shared" si="12"/>
        <v>0.195</v>
      </c>
      <c r="B198">
        <v>49.4682524224987</v>
      </c>
      <c r="C198">
        <v>0.394956668049438</v>
      </c>
    </row>
    <row r="199" spans="1:3">
      <c r="A199">
        <f t="shared" si="12"/>
        <v>0.196</v>
      </c>
      <c r="B199">
        <v>49.1269002958407</v>
      </c>
      <c r="C199">
        <v>0.397193827946294</v>
      </c>
    </row>
    <row r="200" spans="1:3">
      <c r="A200">
        <f t="shared" si="12"/>
        <v>0.197</v>
      </c>
      <c r="B200">
        <v>48.7888525517839</v>
      </c>
      <c r="C200">
        <v>0.399437591014996</v>
      </c>
    </row>
    <row r="201" spans="1:3">
      <c r="A201">
        <f t="shared" si="12"/>
        <v>0.198</v>
      </c>
      <c r="B201">
        <v>48.4540872715644</v>
      </c>
      <c r="C201">
        <v>0.401687737421083</v>
      </c>
    </row>
    <row r="202" spans="1:3">
      <c r="A202">
        <f t="shared" si="12"/>
        <v>0.199</v>
      </c>
      <c r="B202">
        <v>48.122582610902</v>
      </c>
      <c r="C202">
        <v>0.403944046995788</v>
      </c>
    </row>
    <row r="203" spans="1:3">
      <c r="A203">
        <f t="shared" si="12"/>
        <v>0.2</v>
      </c>
      <c r="B203">
        <v>47.7943168</v>
      </c>
      <c r="C203">
        <v>0.406206299273507</v>
      </c>
    </row>
    <row r="204" spans="1:3">
      <c r="A204">
        <f t="shared" si="12"/>
        <v>0.201</v>
      </c>
      <c r="B204">
        <v>47.4692681435448</v>
      </c>
      <c r="C204">
        <v>0.408474273528999</v>
      </c>
    </row>
    <row r="205" spans="1:3">
      <c r="A205">
        <f t="shared" si="12"/>
        <v>0.202</v>
      </c>
      <c r="B205">
        <v>47.1474150207068</v>
      </c>
      <c r="C205">
        <v>0.41074774881431</v>
      </c>
    </row>
    <row r="206" spans="1:3">
      <c r="A206">
        <f t="shared" si="12"/>
        <v>0.203</v>
      </c>
      <c r="B206">
        <v>46.8287358851395</v>
      </c>
      <c r="C206">
        <v>0.41302650399544</v>
      </c>
    </row>
    <row r="207" spans="1:3">
      <c r="A207">
        <f t="shared" si="12"/>
        <v>0.204</v>
      </c>
      <c r="B207">
        <v>46.5132092649799</v>
      </c>
      <c r="C207">
        <v>0.415310317788724</v>
      </c>
    </row>
    <row r="208" spans="1:3">
      <c r="A208">
        <f t="shared" si="12"/>
        <v>0.205</v>
      </c>
      <c r="B208">
        <v>46.2008137628487</v>
      </c>
      <c r="C208">
        <v>0.417598968796957</v>
      </c>
    </row>
    <row r="209" spans="1:3">
      <c r="A209">
        <f t="shared" si="12"/>
        <v>0.206</v>
      </c>
      <c r="B209">
        <v>45.8915280558498</v>
      </c>
      <c r="C209">
        <v>0.419892235545243</v>
      </c>
    </row>
    <row r="210" spans="1:3">
      <c r="A210">
        <f t="shared" si="12"/>
        <v>0.207</v>
      </c>
      <c r="B210">
        <v>45.5853308955709</v>
      </c>
      <c r="C210">
        <v>0.422189896516574</v>
      </c>
    </row>
    <row r="211" spans="1:3">
      <c r="A211">
        <f t="shared" si="12"/>
        <v>0.208</v>
      </c>
      <c r="B211">
        <v>45.2822011080827</v>
      </c>
      <c r="C211">
        <v>0.424491730187144</v>
      </c>
    </row>
    <row r="212" spans="1:3">
      <c r="A212">
        <f t="shared" si="12"/>
        <v>0.209</v>
      </c>
      <c r="B212">
        <v>44.9821175939397</v>
      </c>
      <c r="C212">
        <v>0.426797515061388</v>
      </c>
    </row>
    <row r="213" spans="1:3">
      <c r="A213">
        <f t="shared" si="12"/>
        <v>0.21</v>
      </c>
      <c r="B213">
        <v>44.68505932818</v>
      </c>
      <c r="C213">
        <v>0.429107029706751</v>
      </c>
    </row>
    <row r="214" spans="1:3">
      <c r="A214">
        <f t="shared" si="12"/>
        <v>0.211</v>
      </c>
      <c r="B214">
        <v>44.3910053603248</v>
      </c>
      <c r="C214">
        <v>0.431420052788196</v>
      </c>
    </row>
    <row r="215" spans="1:3">
      <c r="A215">
        <f t="shared" si="12"/>
        <v>0.212</v>
      </c>
      <c r="B215">
        <v>44.099934814379</v>
      </c>
      <c r="C215">
        <v>0.433736363102432</v>
      </c>
    </row>
    <row r="216" spans="1:3">
      <c r="A216">
        <f t="shared" si="12"/>
        <v>0.213</v>
      </c>
      <c r="B216">
        <v>43.8118268888309</v>
      </c>
      <c r="C216">
        <v>0.436055739611878</v>
      </c>
    </row>
    <row r="217" spans="1:3">
      <c r="A217">
        <f t="shared" si="12"/>
        <v>0.214</v>
      </c>
      <c r="B217">
        <v>43.5266608566524</v>
      </c>
      <c r="C217">
        <v>0.438377961478354</v>
      </c>
    </row>
    <row r="218" spans="1:3">
      <c r="A218">
        <f t="shared" si="12"/>
        <v>0.215</v>
      </c>
      <c r="B218">
        <v>43.2444160652987</v>
      </c>
      <c r="C218">
        <v>0.440702808096508</v>
      </c>
    </row>
    <row r="219" spans="1:3">
      <c r="A219">
        <f t="shared" si="12"/>
        <v>0.216</v>
      </c>
      <c r="B219">
        <v>42.9650719367086</v>
      </c>
      <c r="C219">
        <v>0.443030059126967</v>
      </c>
    </row>
    <row r="220" spans="1:3">
      <c r="A220">
        <f t="shared" si="12"/>
        <v>0.217</v>
      </c>
      <c r="B220">
        <v>42.6886079673042</v>
      </c>
      <c r="C220">
        <v>0.445359494529222</v>
      </c>
    </row>
    <row r="221" spans="1:3">
      <c r="A221">
        <f t="shared" si="12"/>
        <v>0.218</v>
      </c>
      <c r="B221">
        <v>42.4150037279913</v>
      </c>
      <c r="C221">
        <v>0.447690894594241</v>
      </c>
    </row>
    <row r="222" spans="1:3">
      <c r="A222">
        <f t="shared" si="12"/>
        <v>0.219</v>
      </c>
      <c r="B222">
        <v>42.144238864159</v>
      </c>
      <c r="C222">
        <v>0.450024039976816</v>
      </c>
    </row>
    <row r="223" spans="1:3">
      <c r="A223">
        <f t="shared" si="12"/>
        <v>0.22</v>
      </c>
      <c r="B223">
        <v>41.87629309568</v>
      </c>
      <c r="C223">
        <v>0.452358711727637</v>
      </c>
    </row>
    <row r="224" spans="1:3">
      <c r="A224">
        <f t="shared" si="12"/>
        <v>0.221</v>
      </c>
      <c r="B224">
        <v>41.6111462169103</v>
      </c>
      <c r="C224">
        <v>0.454694691325098</v>
      </c>
    </row>
    <row r="225" spans="1:3">
      <c r="A225">
        <f t="shared" si="12"/>
        <v>0.222</v>
      </c>
      <c r="B225">
        <v>41.3487780966895</v>
      </c>
      <c r="C225">
        <v>0.45703176070683</v>
      </c>
    </row>
    <row r="226" spans="1:3">
      <c r="A226">
        <f t="shared" si="12"/>
        <v>0.223</v>
      </c>
      <c r="B226">
        <v>41.0891686783408</v>
      </c>
      <c r="C226">
        <v>0.459369702300973</v>
      </c>
    </row>
    <row r="227" spans="1:3">
      <c r="A227">
        <f t="shared" si="12"/>
        <v>0.224</v>
      </c>
      <c r="B227">
        <v>40.8322979796705</v>
      </c>
      <c r="C227">
        <v>0.461708299057166</v>
      </c>
    </row>
    <row r="228" spans="1:3">
      <c r="A228">
        <f t="shared" si="12"/>
        <v>0.225</v>
      </c>
      <c r="B228">
        <v>40.5781460929687</v>
      </c>
      <c r="C228">
        <v>0.464047334477279</v>
      </c>
    </row>
    <row r="229" spans="1:3">
      <c r="A229">
        <f t="shared" si="12"/>
        <v>0.226</v>
      </c>
      <c r="B229">
        <v>40.3266931850089</v>
      </c>
      <c r="C229">
        <v>0.466386592645868</v>
      </c>
    </row>
    <row r="230" spans="1:3">
      <c r="A230">
        <f t="shared" si="12"/>
        <v>0.227</v>
      </c>
      <c r="B230">
        <v>40.077919497048</v>
      </c>
      <c r="C230">
        <v>0.46872585826036</v>
      </c>
    </row>
    <row r="231" spans="1:3">
      <c r="A231">
        <f t="shared" si="12"/>
        <v>0.228</v>
      </c>
      <c r="B231">
        <v>39.8318053448263</v>
      </c>
      <c r="C231">
        <v>0.471064916660979</v>
      </c>
    </row>
    <row r="232" spans="1:3">
      <c r="A232">
        <f t="shared" si="12"/>
        <v>0.229</v>
      </c>
      <c r="B232">
        <v>39.5883311185679</v>
      </c>
      <c r="C232">
        <v>0.473403553860384</v>
      </c>
    </row>
    <row r="233" spans="1:3">
      <c r="A233">
        <f t="shared" si="12"/>
        <v>0.23</v>
      </c>
      <c r="B233">
        <v>39.34747728298</v>
      </c>
      <c r="C233">
        <v>0.475741556573056</v>
      </c>
    </row>
    <row r="234" spans="1:3">
      <c r="A234">
        <f t="shared" si="12"/>
        <v>0.231</v>
      </c>
      <c r="B234">
        <v>39.1092243772534</v>
      </c>
      <c r="C234">
        <v>0.478078712244401</v>
      </c>
    </row>
    <row r="235" spans="1:3">
      <c r="A235">
        <f t="shared" si="12"/>
        <v>0.232</v>
      </c>
      <c r="B235">
        <v>38.8735530150625</v>
      </c>
      <c r="C235">
        <v>0.480414809079596</v>
      </c>
    </row>
    <row r="236" spans="1:3">
      <c r="A236">
        <f t="shared" si="12"/>
        <v>0.233</v>
      </c>
      <c r="B236">
        <v>38.640443884565</v>
      </c>
      <c r="C236">
        <v>0.482749636072152</v>
      </c>
    </row>
    <row r="237" spans="1:3">
      <c r="A237">
        <f t="shared" si="12"/>
        <v>0.234</v>
      </c>
      <c r="B237">
        <v>38.4098777484022</v>
      </c>
      <c r="C237">
        <v>0.485082983032217</v>
      </c>
    </row>
    <row r="238" spans="1:3">
      <c r="A238">
        <f t="shared" si="12"/>
        <v>0.235</v>
      </c>
      <c r="B238">
        <v>38.1818354436987</v>
      </c>
      <c r="C238">
        <v>0.487414640614608</v>
      </c>
    </row>
    <row r="239" spans="1:3">
      <c r="A239">
        <f t="shared" si="12"/>
        <v>0.236</v>
      </c>
      <c r="B239">
        <v>37.9562978820628</v>
      </c>
      <c r="C239">
        <v>0.48974440034657</v>
      </c>
    </row>
    <row r="240" spans="1:3">
      <c r="A240">
        <f t="shared" si="12"/>
        <v>0.237</v>
      </c>
      <c r="B240">
        <v>37.7332460495861</v>
      </c>
      <c r="C240">
        <v>0.492072054655266</v>
      </c>
    </row>
    <row r="241" spans="1:3">
      <c r="A241">
        <f t="shared" si="12"/>
        <v>0.238</v>
      </c>
      <c r="B241">
        <v>37.5126610068438</v>
      </c>
      <c r="C241">
        <v>0.494397396895001</v>
      </c>
    </row>
    <row r="242" spans="1:3">
      <c r="A242">
        <f t="shared" si="12"/>
        <v>0.239</v>
      </c>
      <c r="B242">
        <v>37.2945238888944</v>
      </c>
      <c r="C242">
        <v>0.496720221374173</v>
      </c>
    </row>
    <row r="243" spans="1:3">
      <c r="A243">
        <f t="shared" si="12"/>
        <v>0.24</v>
      </c>
      <c r="B243">
        <v>37.07881590528</v>
      </c>
      <c r="C243">
        <v>0.499040323381955</v>
      </c>
    </row>
    <row r="244" spans="1:3">
      <c r="A244">
        <f t="shared" si="12"/>
        <v>0.241</v>
      </c>
      <c r="B244">
        <v>36.8655183400261</v>
      </c>
      <c r="C244">
        <v>0.501357499214706</v>
      </c>
    </row>
    <row r="245" spans="1:3">
      <c r="A245">
        <f t="shared" si="12"/>
        <v>0.242</v>
      </c>
      <c r="B245">
        <v>36.6546125516418</v>
      </c>
      <c r="C245">
        <v>0.503671546202118</v>
      </c>
    </row>
    <row r="246" spans="1:3">
      <c r="A246">
        <f t="shared" si="12"/>
        <v>0.243</v>
      </c>
      <c r="B246">
        <v>36.4460799731197</v>
      </c>
      <c r="C246">
        <v>0.505982262733085</v>
      </c>
    </row>
    <row r="247" spans="1:3">
      <c r="A247">
        <f t="shared" si="12"/>
        <v>0.244</v>
      </c>
      <c r="B247">
        <v>36.2399021119355</v>
      </c>
      <c r="C247">
        <v>0.508289448281309</v>
      </c>
    </row>
    <row r="248" spans="1:3">
      <c r="A248">
        <f t="shared" si="12"/>
        <v>0.245</v>
      </c>
      <c r="B248">
        <v>36.0360605500487</v>
      </c>
      <c r="C248">
        <v>0.510592903430634</v>
      </c>
    </row>
    <row r="249" spans="1:3">
      <c r="A249">
        <f t="shared" si="12"/>
        <v>0.246</v>
      </c>
      <c r="B249">
        <v>35.8345369439023</v>
      </c>
      <c r="C249">
        <v>0.51289242990011</v>
      </c>
    </row>
    <row r="250" spans="1:3">
      <c r="A250">
        <f t="shared" si="12"/>
        <v>0.247</v>
      </c>
      <c r="B250">
        <v>35.6353130244227</v>
      </c>
      <c r="C250">
        <v>0.515187830568785</v>
      </c>
    </row>
    <row r="251" spans="1:3">
      <c r="A251">
        <f t="shared" si="12"/>
        <v>0.248</v>
      </c>
      <c r="B251">
        <v>35.4383705970196</v>
      </c>
      <c r="C251">
        <v>0.517478909500238</v>
      </c>
    </row>
    <row r="252" spans="1:3">
      <c r="A252">
        <f t="shared" si="12"/>
        <v>0.249</v>
      </c>
      <c r="B252">
        <v>35.2436915415865</v>
      </c>
      <c r="C252">
        <v>0.519765471966822</v>
      </c>
    </row>
    <row r="253" spans="1:3">
      <c r="A253">
        <f t="shared" si="12"/>
        <v>0.25</v>
      </c>
      <c r="B253">
        <v>35.0512578125</v>
      </c>
      <c r="C253">
        <v>0.522047324473663</v>
      </c>
    </row>
    <row r="254" spans="1:3">
      <c r="A254">
        <f t="shared" si="12"/>
        <v>0.251</v>
      </c>
      <c r="B254">
        <v>34.8610514386205</v>
      </c>
      <c r="C254">
        <v>0.524324274782366</v>
      </c>
    </row>
    <row r="255" spans="1:3">
      <c r="A255">
        <f t="shared" si="12"/>
        <v>0.252</v>
      </c>
      <c r="B255">
        <v>34.6730545232917</v>
      </c>
      <c r="C255">
        <v>0.526596131934467</v>
      </c>
    </row>
    <row r="256" spans="1:3">
      <c r="A256">
        <f t="shared" si="12"/>
        <v>0.253</v>
      </c>
      <c r="B256">
        <v>34.4872492443407</v>
      </c>
      <c r="C256">
        <v>0.528862706274609</v>
      </c>
    </row>
    <row r="257" spans="1:3">
      <c r="A257">
        <f t="shared" si="12"/>
        <v>0.254</v>
      </c>
      <c r="B257">
        <v>34.3036178540783</v>
      </c>
      <c r="C257">
        <v>0.531123809473447</v>
      </c>
    </row>
    <row r="258" spans="1:3">
      <c r="A258">
        <f t="shared" si="12"/>
        <v>0.255</v>
      </c>
      <c r="B258">
        <v>34.1221426792987</v>
      </c>
      <c r="C258">
        <v>0.533379254550288</v>
      </c>
    </row>
    <row r="259" spans="1:3">
      <c r="A259">
        <f t="shared" si="12"/>
        <v>0.256</v>
      </c>
      <c r="B259">
        <v>33.9428061212795</v>
      </c>
      <c r="C259">
        <v>0.535628855895458</v>
      </c>
    </row>
    <row r="260" spans="1:3">
      <c r="A260">
        <f t="shared" si="12"/>
        <v>0.257</v>
      </c>
      <c r="B260">
        <v>33.7655906557817</v>
      </c>
      <c r="C260">
        <v>0.537872429292398</v>
      </c>
    </row>
    <row r="261" spans="1:3">
      <c r="A261">
        <f t="shared" ref="A261:A324" si="13">A260+0.001</f>
        <v>0.258</v>
      </c>
      <c r="B261">
        <v>33.5904788330499</v>
      </c>
      <c r="C261">
        <v>0.540109791939499</v>
      </c>
    </row>
    <row r="262" spans="1:3">
      <c r="A262">
        <f t="shared" si="13"/>
        <v>0.259</v>
      </c>
      <c r="B262">
        <v>33.4174532778121</v>
      </c>
      <c r="C262">
        <v>0.542340762471653</v>
      </c>
    </row>
    <row r="263" spans="1:3">
      <c r="A263">
        <f t="shared" si="13"/>
        <v>0.26</v>
      </c>
      <c r="B263">
        <v>33.24649668928</v>
      </c>
      <c r="C263">
        <v>0.544565160981549</v>
      </c>
    </row>
    <row r="264" spans="1:3">
      <c r="A264">
        <f t="shared" si="13"/>
        <v>0.261</v>
      </c>
      <c r="B264">
        <v>33.0775918411484</v>
      </c>
      <c r="C264">
        <v>0.546782809040686</v>
      </c>
    </row>
    <row r="265" spans="1:3">
      <c r="A265">
        <f t="shared" si="13"/>
        <v>0.262</v>
      </c>
      <c r="B265">
        <v>32.9107215815958</v>
      </c>
      <c r="C265">
        <v>0.548993529720132</v>
      </c>
    </row>
    <row r="266" spans="1:3">
      <c r="A266">
        <f t="shared" si="13"/>
        <v>0.263</v>
      </c>
      <c r="B266">
        <v>32.7458688332841</v>
      </c>
      <c r="C266">
        <v>0.551197147610996</v>
      </c>
    </row>
    <row r="267" spans="1:3">
      <c r="A267">
        <f t="shared" si="13"/>
        <v>0.264</v>
      </c>
      <c r="B267">
        <v>32.5830165933588</v>
      </c>
      <c r="C267">
        <v>0.553393488844641</v>
      </c>
    </row>
    <row r="268" spans="1:3">
      <c r="A268">
        <f t="shared" si="13"/>
        <v>0.265</v>
      </c>
      <c r="B268">
        <v>32.4221479334487</v>
      </c>
      <c r="C268">
        <v>0.55558238111263</v>
      </c>
    </row>
    <row r="269" spans="1:3">
      <c r="A269">
        <f t="shared" si="13"/>
        <v>0.266</v>
      </c>
      <c r="B269">
        <v>32.2632459996662</v>
      </c>
      <c r="C269">
        <v>0.557763653686389</v>
      </c>
    </row>
    <row r="270" spans="1:3">
      <c r="A270">
        <f t="shared" si="13"/>
        <v>0.267</v>
      </c>
      <c r="B270">
        <v>32.1062940126071</v>
      </c>
      <c r="C270">
        <v>0.559937137436619</v>
      </c>
    </row>
    <row r="271" spans="1:3">
      <c r="A271">
        <f t="shared" si="13"/>
        <v>0.268</v>
      </c>
      <c r="B271">
        <v>31.9512752673505</v>
      </c>
      <c r="C271">
        <v>0.562102664852417</v>
      </c>
    </row>
    <row r="272" spans="1:3">
      <c r="A272">
        <f t="shared" si="13"/>
        <v>0.269</v>
      </c>
      <c r="B272">
        <v>31.7981731334594</v>
      </c>
      <c r="C272">
        <v>0.564260070060147</v>
      </c>
    </row>
    <row r="273" spans="1:3">
      <c r="A273">
        <f t="shared" si="13"/>
        <v>0.27</v>
      </c>
      <c r="B273">
        <v>31.64697105498</v>
      </c>
      <c r="C273">
        <v>0.56640918884203</v>
      </c>
    </row>
    <row r="274" spans="1:3">
      <c r="A274">
        <f t="shared" si="13"/>
        <v>0.271</v>
      </c>
      <c r="B274">
        <v>31.4976525504419</v>
      </c>
      <c r="C274">
        <v>0.568549858654466</v>
      </c>
    </row>
    <row r="275" spans="1:3">
      <c r="A275">
        <f t="shared" si="13"/>
        <v>0.272</v>
      </c>
      <c r="B275">
        <v>31.3502012128584</v>
      </c>
      <c r="C275">
        <v>0.570681918646091</v>
      </c>
    </row>
    <row r="276" spans="1:3">
      <c r="A276">
        <f t="shared" si="13"/>
        <v>0.273</v>
      </c>
      <c r="B276">
        <v>31.204600709726</v>
      </c>
      <c r="C276">
        <v>0.572805209675555</v>
      </c>
    </row>
    <row r="277" spans="1:3">
      <c r="A277">
        <f t="shared" si="13"/>
        <v>0.274</v>
      </c>
      <c r="B277">
        <v>31.0608347830249</v>
      </c>
      <c r="C277">
        <v>0.574919574329046</v>
      </c>
    </row>
    <row r="278" spans="1:3">
      <c r="A278">
        <f t="shared" si="13"/>
        <v>0.275</v>
      </c>
      <c r="B278">
        <v>30.9188872492188</v>
      </c>
      <c r="C278">
        <v>0.577024856937523</v>
      </c>
    </row>
    <row r="279" spans="1:3">
      <c r="A279">
        <f t="shared" si="13"/>
        <v>0.276</v>
      </c>
      <c r="B279">
        <v>30.7787419992545</v>
      </c>
      <c r="C279">
        <v>0.579120903593699</v>
      </c>
    </row>
    <row r="280" spans="1:3">
      <c r="A280">
        <f t="shared" si="13"/>
        <v>0.277</v>
      </c>
      <c r="B280">
        <v>30.6403829985628</v>
      </c>
      <c r="C280">
        <v>0.581207562168745</v>
      </c>
    </row>
    <row r="281" spans="1:3">
      <c r="A281">
        <f t="shared" si="13"/>
        <v>0.278</v>
      </c>
      <c r="B281">
        <v>30.5037942870575</v>
      </c>
      <c r="C281">
        <v>0.583284682328724</v>
      </c>
    </row>
    <row r="282" spans="1:3">
      <c r="A282">
        <f t="shared" si="13"/>
        <v>0.279</v>
      </c>
      <c r="B282">
        <v>30.3689599791363</v>
      </c>
      <c r="C282">
        <v>0.585352115550757</v>
      </c>
    </row>
    <row r="283" spans="1:3">
      <c r="A283">
        <f t="shared" si="13"/>
        <v>0.28</v>
      </c>
      <c r="B283">
        <v>30.23586426368</v>
      </c>
      <c r="C283">
        <v>0.587409715138923</v>
      </c>
    </row>
    <row r="284" spans="1:3">
      <c r="A284">
        <f t="shared" si="13"/>
        <v>0.281</v>
      </c>
      <c r="B284">
        <v>30.104491404053</v>
      </c>
      <c r="C284">
        <v>0.589457336239882</v>
      </c>
    </row>
    <row r="285" spans="1:3">
      <c r="A285">
        <f t="shared" si="13"/>
        <v>0.282</v>
      </c>
      <c r="B285">
        <v>29.9748257381033</v>
      </c>
      <c r="C285">
        <v>0.591494835858232</v>
      </c>
    </row>
    <row r="286" spans="1:3">
      <c r="A286">
        <f t="shared" si="13"/>
        <v>0.283</v>
      </c>
      <c r="B286">
        <v>29.8468516781622</v>
      </c>
      <c r="C286">
        <v>0.593522072871598</v>
      </c>
    </row>
    <row r="287" spans="1:3">
      <c r="A287">
        <f t="shared" si="13"/>
        <v>0.284</v>
      </c>
      <c r="B287">
        <v>29.7205537110446</v>
      </c>
      <c r="C287">
        <v>0.595538908045453</v>
      </c>
    </row>
    <row r="288" spans="1:3">
      <c r="A288">
        <f t="shared" si="13"/>
        <v>0.285</v>
      </c>
      <c r="B288">
        <v>29.5959163980488</v>
      </c>
      <c r="C288">
        <v>0.597545204047659</v>
      </c>
    </row>
    <row r="289" spans="1:3">
      <c r="A289">
        <f t="shared" si="13"/>
        <v>0.286</v>
      </c>
      <c r="B289">
        <v>29.4729243749565</v>
      </c>
      <c r="C289">
        <v>0.59954082546275</v>
      </c>
    </row>
    <row r="290" spans="1:3">
      <c r="A290">
        <f t="shared" si="13"/>
        <v>0.287</v>
      </c>
      <c r="B290">
        <v>29.3515623520329</v>
      </c>
      <c r="C290">
        <v>0.601525638805945</v>
      </c>
    </row>
    <row r="291" spans="1:3">
      <c r="A291">
        <f t="shared" si="13"/>
        <v>0.288</v>
      </c>
      <c r="B291">
        <v>29.231815114027</v>
      </c>
      <c r="C291">
        <v>0.603499512536876</v>
      </c>
    </row>
    <row r="292" spans="1:3">
      <c r="A292">
        <f t="shared" si="13"/>
        <v>0.289</v>
      </c>
      <c r="B292">
        <v>29.1136675201708</v>
      </c>
      <c r="C292">
        <v>0.605462317073068</v>
      </c>
    </row>
    <row r="293" spans="1:3">
      <c r="A293">
        <f t="shared" si="13"/>
        <v>0.29</v>
      </c>
      <c r="B293">
        <v>28.99710450418</v>
      </c>
      <c r="C293">
        <v>0.607413924803136</v>
      </c>
    </row>
    <row r="294" spans="1:3">
      <c r="A294">
        <f t="shared" si="13"/>
        <v>0.291</v>
      </c>
      <c r="B294">
        <v>28.8821110742537</v>
      </c>
      <c r="C294">
        <v>0.609354210099714</v>
      </c>
    </row>
    <row r="295" spans="1:3">
      <c r="A295">
        <f t="shared" si="13"/>
        <v>0.292</v>
      </c>
      <c r="B295">
        <v>28.7686723130747</v>
      </c>
      <c r="C295">
        <v>0.611283049332114</v>
      </c>
    </row>
    <row r="296" spans="1:3">
      <c r="A296">
        <f t="shared" si="13"/>
        <v>0.293</v>
      </c>
      <c r="B296">
        <v>28.6567733778089</v>
      </c>
      <c r="C296">
        <v>0.613200320878722</v>
      </c>
    </row>
    <row r="297" spans="1:3">
      <c r="A297">
        <f t="shared" si="13"/>
        <v>0.294</v>
      </c>
      <c r="B297">
        <v>28.5463995001059</v>
      </c>
      <c r="C297">
        <v>0.615105905139116</v>
      </c>
    </row>
    <row r="298" spans="1:3">
      <c r="A298">
        <f t="shared" si="13"/>
        <v>0.295</v>
      </c>
      <c r="B298">
        <v>28.4375359860987</v>
      </c>
      <c r="C298">
        <v>0.61699968454592</v>
      </c>
    </row>
    <row r="299" spans="1:3">
      <c r="A299">
        <f t="shared" si="13"/>
        <v>0.296</v>
      </c>
      <c r="B299">
        <v>28.330168216404</v>
      </c>
      <c r="C299">
        <v>0.618881543576383</v>
      </c>
    </row>
    <row r="300" spans="1:3">
      <c r="A300">
        <f t="shared" si="13"/>
        <v>0.297</v>
      </c>
      <c r="B300">
        <v>28.2242816461215</v>
      </c>
      <c r="C300">
        <v>0.620751368763694</v>
      </c>
    </row>
    <row r="301" spans="1:3">
      <c r="A301">
        <f t="shared" si="13"/>
        <v>0.298</v>
      </c>
      <c r="B301">
        <v>28.1198618048348</v>
      </c>
      <c r="C301">
        <v>0.622609048708024</v>
      </c>
    </row>
    <row r="302" spans="1:3">
      <c r="A302">
        <f t="shared" si="13"/>
        <v>0.299</v>
      </c>
      <c r="B302">
        <v>28.0168942966108</v>
      </c>
      <c r="C302">
        <v>0.6244544740873</v>
      </c>
    </row>
    <row r="303" spans="1:3">
      <c r="A303">
        <f t="shared" si="13"/>
        <v>0.3</v>
      </c>
      <c r="B303">
        <v>27.9153648</v>
      </c>
      <c r="C303">
        <v>0.626287537667705</v>
      </c>
    </row>
    <row r="304" spans="1:3">
      <c r="A304">
        <f t="shared" si="13"/>
        <v>0.301</v>
      </c>
      <c r="B304">
        <v>27.8152590680361</v>
      </c>
      <c r="C304">
        <v>0.628108134313917</v>
      </c>
    </row>
    <row r="305" spans="1:3">
      <c r="A305">
        <f t="shared" si="13"/>
        <v>0.302</v>
      </c>
      <c r="B305">
        <v>27.7165629282365</v>
      </c>
      <c r="C305">
        <v>0.629916160999071</v>
      </c>
    </row>
    <row r="306" spans="1:3">
      <c r="A306">
        <f t="shared" si="13"/>
        <v>0.303</v>
      </c>
      <c r="B306">
        <v>27.6192622826019</v>
      </c>
      <c r="C306">
        <v>0.631711516814455</v>
      </c>
    </row>
    <row r="307" spans="1:3">
      <c r="A307">
        <f t="shared" si="13"/>
        <v>0.304</v>
      </c>
      <c r="B307">
        <v>27.5233431076168</v>
      </c>
      <c r="C307">
        <v>0.633494102978929</v>
      </c>
    </row>
    <row r="308" spans="1:3">
      <c r="A308">
        <f t="shared" si="13"/>
        <v>0.305</v>
      </c>
      <c r="B308">
        <v>27.4287914542488</v>
      </c>
      <c r="C308">
        <v>0.63526382284809</v>
      </c>
    </row>
    <row r="309" spans="1:3">
      <c r="A309">
        <f t="shared" si="13"/>
        <v>0.306</v>
      </c>
      <c r="B309">
        <v>27.3355934479491</v>
      </c>
      <c r="C309">
        <v>0.637020581923148</v>
      </c>
    </row>
    <row r="310" spans="1:3">
      <c r="A310">
        <f t="shared" si="13"/>
        <v>0.307</v>
      </c>
      <c r="B310">
        <v>27.2437352886525</v>
      </c>
      <c r="C310">
        <v>0.638764287859551</v>
      </c>
    </row>
    <row r="311" spans="1:3">
      <c r="A311">
        <f t="shared" si="13"/>
        <v>0.308</v>
      </c>
      <c r="B311">
        <v>27.1532032507771</v>
      </c>
      <c r="C311">
        <v>0.640494850475323</v>
      </c>
    </row>
    <row r="312" spans="1:3">
      <c r="A312">
        <f t="shared" si="13"/>
        <v>0.309</v>
      </c>
      <c r="B312">
        <v>27.0639836832246</v>
      </c>
      <c r="C312">
        <v>0.642212181759147</v>
      </c>
    </row>
    <row r="313" spans="1:3">
      <c r="A313">
        <f t="shared" si="13"/>
        <v>0.31</v>
      </c>
      <c r="B313">
        <v>26.97606300938</v>
      </c>
      <c r="C313">
        <v>0.643916195878169</v>
      </c>
    </row>
    <row r="314" spans="1:3">
      <c r="A314">
        <f t="shared" si="13"/>
        <v>0.311</v>
      </c>
      <c r="B314">
        <v>26.889427727112</v>
      </c>
      <c r="C314">
        <v>0.645606809185536</v>
      </c>
    </row>
    <row r="315" spans="1:3">
      <c r="A315">
        <f t="shared" si="13"/>
        <v>0.312</v>
      </c>
      <c r="B315">
        <v>26.8040644087726</v>
      </c>
      <c r="C315">
        <v>0.647283940227665</v>
      </c>
    </row>
    <row r="316" spans="1:3">
      <c r="A316">
        <f t="shared" si="13"/>
        <v>0.313</v>
      </c>
      <c r="B316">
        <v>26.7199597011974</v>
      </c>
      <c r="C316">
        <v>0.648947509751241</v>
      </c>
    </row>
    <row r="317" spans="1:3">
      <c r="A317">
        <f t="shared" si="13"/>
        <v>0.314</v>
      </c>
      <c r="B317">
        <v>26.6371003257053</v>
      </c>
      <c r="C317">
        <v>0.650597440709941</v>
      </c>
    </row>
    <row r="318" spans="1:3">
      <c r="A318">
        <f t="shared" si="13"/>
        <v>0.315</v>
      </c>
      <c r="B318">
        <v>26.5554730780988</v>
      </c>
      <c r="C318">
        <v>0.6522336582709</v>
      </c>
    </row>
    <row r="319" spans="1:3">
      <c r="A319">
        <f t="shared" si="13"/>
        <v>0.316</v>
      </c>
      <c r="B319">
        <v>26.4750648286638</v>
      </c>
      <c r="C319">
        <v>0.653856089820899</v>
      </c>
    </row>
    <row r="320" spans="1:3">
      <c r="A320">
        <f t="shared" si="13"/>
        <v>0.317</v>
      </c>
      <c r="B320">
        <v>26.3958625221698</v>
      </c>
      <c r="C320">
        <v>0.655464664972274</v>
      </c>
    </row>
    <row r="321" spans="1:3">
      <c r="A321">
        <f t="shared" si="13"/>
        <v>0.318</v>
      </c>
      <c r="B321">
        <v>26.3178531778697</v>
      </c>
      <c r="C321">
        <v>0.657059315568584</v>
      </c>
    </row>
    <row r="322" spans="1:3">
      <c r="A322">
        <f t="shared" si="13"/>
        <v>0.319</v>
      </c>
      <c r="B322">
        <v>26.2410238894998</v>
      </c>
      <c r="C322">
        <v>0.658639975689975</v>
      </c>
    </row>
    <row r="323" spans="1:3">
      <c r="A323">
        <f t="shared" si="13"/>
        <v>0.32</v>
      </c>
      <c r="B323">
        <v>26.16536182528</v>
      </c>
      <c r="C323">
        <v>0.660206581658302</v>
      </c>
    </row>
    <row r="324" spans="1:3">
      <c r="A324">
        <f t="shared" si="13"/>
        <v>0.321</v>
      </c>
      <c r="B324">
        <v>26.0908542279135</v>
      </c>
      <c r="C324">
        <v>0.661759072041961</v>
      </c>
    </row>
    <row r="325" spans="1:3">
      <c r="A325">
        <f t="shared" ref="A325:A388" si="14">A324+0.001</f>
        <v>0.322</v>
      </c>
      <c r="B325">
        <v>26.0174884145872</v>
      </c>
      <c r="C325">
        <v>0.663297387660469</v>
      </c>
    </row>
    <row r="326" spans="1:3">
      <c r="A326">
        <f t="shared" si="14"/>
        <v>0.323</v>
      </c>
      <c r="B326">
        <v>25.9452517769712</v>
      </c>
      <c r="C326">
        <v>0.66482147158876</v>
      </c>
    </row>
    <row r="327" spans="1:3">
      <c r="A327">
        <f t="shared" si="14"/>
        <v>0.324</v>
      </c>
      <c r="B327">
        <v>25.8741317812194</v>
      </c>
      <c r="C327">
        <v>0.666331269161214</v>
      </c>
    </row>
    <row r="328" spans="1:3">
      <c r="A328">
        <f t="shared" si="14"/>
        <v>0.325</v>
      </c>
      <c r="B328">
        <v>25.8041159679687</v>
      </c>
      <c r="C328">
        <v>0.667826727975431</v>
      </c>
    </row>
    <row r="329" spans="1:3">
      <c r="A329">
        <f t="shared" si="14"/>
        <v>0.326</v>
      </c>
      <c r="B329">
        <v>25.7351919523401</v>
      </c>
      <c r="C329">
        <v>0.669307797895711</v>
      </c>
    </row>
    <row r="330" spans="1:3">
      <c r="A330">
        <f t="shared" si="14"/>
        <v>0.327</v>
      </c>
      <c r="B330">
        <v>25.6673474239376</v>
      </c>
      <c r="C330">
        <v>0.670774431056287</v>
      </c>
    </row>
    <row r="331" spans="1:3">
      <c r="A331">
        <f t="shared" si="14"/>
        <v>0.328</v>
      </c>
      <c r="B331">
        <v>25.6005701468488</v>
      </c>
      <c r="C331">
        <v>0.672226581864273</v>
      </c>
    </row>
    <row r="332" spans="1:3">
      <c r="A332">
        <f t="shared" si="14"/>
        <v>0.329</v>
      </c>
      <c r="B332">
        <v>25.5348479596448</v>
      </c>
      <c r="C332">
        <v>0.673664207002347</v>
      </c>
    </row>
    <row r="333" spans="1:3">
      <c r="A333">
        <f t="shared" si="14"/>
        <v>0.33</v>
      </c>
      <c r="B333">
        <v>25.47016877538</v>
      </c>
      <c r="C333">
        <v>0.675087265431172</v>
      </c>
    </row>
    <row r="334" spans="1:3">
      <c r="A334">
        <f t="shared" si="14"/>
        <v>0.331</v>
      </c>
      <c r="B334">
        <v>25.4065205815927</v>
      </c>
      <c r="C334">
        <v>0.676495718391532</v>
      </c>
    </row>
    <row r="335" spans="1:3">
      <c r="A335">
        <f t="shared" si="14"/>
        <v>0.332</v>
      </c>
      <c r="B335">
        <v>25.3438914403041</v>
      </c>
      <c r="C335">
        <v>0.677889529406211</v>
      </c>
    </row>
    <row r="336" spans="1:3">
      <c r="A336">
        <f t="shared" si="14"/>
        <v>0.333</v>
      </c>
      <c r="B336">
        <v>25.2822694880194</v>
      </c>
      <c r="C336">
        <v>0.6792686642816</v>
      </c>
    </row>
    <row r="337" spans="1:3">
      <c r="A337">
        <f t="shared" si="14"/>
        <v>0.334</v>
      </c>
      <c r="B337">
        <v>25.221642935727</v>
      </c>
      <c r="C337">
        <v>0.68063309110903</v>
      </c>
    </row>
    <row r="338" spans="1:3">
      <c r="A338">
        <f t="shared" si="14"/>
        <v>0.335</v>
      </c>
      <c r="B338">
        <v>25.1620000688987</v>
      </c>
      <c r="C338">
        <v>0.681982780265839</v>
      </c>
    </row>
    <row r="339" spans="1:3">
      <c r="A339">
        <f t="shared" si="14"/>
        <v>0.336</v>
      </c>
      <c r="B339">
        <v>25.1033292474901</v>
      </c>
      <c r="C339">
        <v>0.683317704416168</v>
      </c>
    </row>
    <row r="340" spans="1:3">
      <c r="A340">
        <f t="shared" si="14"/>
        <v>0.337</v>
      </c>
      <c r="B340">
        <v>25.0456189059398</v>
      </c>
      <c r="C340">
        <v>0.684637838511488</v>
      </c>
    </row>
    <row r="341" spans="1:3">
      <c r="A341">
        <f t="shared" si="14"/>
        <v>0.338</v>
      </c>
      <c r="B341">
        <v>24.9888575531702</v>
      </c>
      <c r="C341">
        <v>0.685943159790855</v>
      </c>
    </row>
    <row r="342" spans="1:3">
      <c r="A342">
        <f t="shared" si="14"/>
        <v>0.339</v>
      </c>
      <c r="B342">
        <v>24.9330337725872</v>
      </c>
      <c r="C342">
        <v>0.687233647780902</v>
      </c>
    </row>
    <row r="343" spans="1:3">
      <c r="A343">
        <f t="shared" si="14"/>
        <v>0.34</v>
      </c>
      <c r="B343">
        <v>24.87813622208</v>
      </c>
      <c r="C343">
        <v>0.688509284295554</v>
      </c>
    </row>
    <row r="344" spans="1:3">
      <c r="A344">
        <f t="shared" si="14"/>
        <v>0.341</v>
      </c>
      <c r="B344">
        <v>24.8241536340213</v>
      </c>
      <c r="C344">
        <v>0.689770053435473</v>
      </c>
    </row>
    <row r="345" spans="1:3">
      <c r="A345">
        <f t="shared" si="14"/>
        <v>0.342</v>
      </c>
      <c r="B345">
        <v>24.7710748152675</v>
      </c>
      <c r="C345">
        <v>0.691015941587241</v>
      </c>
    </row>
    <row r="346" spans="1:3">
      <c r="A346">
        <f t="shared" si="14"/>
        <v>0.343</v>
      </c>
      <c r="B346">
        <v>24.7188886471581</v>
      </c>
      <c r="C346">
        <v>0.692246937422271</v>
      </c>
    </row>
    <row r="347" spans="1:3">
      <c r="A347">
        <f t="shared" si="14"/>
        <v>0.344</v>
      </c>
      <c r="B347">
        <v>24.6675840855163</v>
      </c>
      <c r="C347">
        <v>0.693463031895437</v>
      </c>
    </row>
    <row r="348" spans="1:3">
      <c r="A348">
        <f t="shared" si="14"/>
        <v>0.345</v>
      </c>
      <c r="B348">
        <v>24.6171501606488</v>
      </c>
      <c r="C348">
        <v>0.694664218243452</v>
      </c>
    </row>
    <row r="349" spans="1:3">
      <c r="A349">
        <f t="shared" si="14"/>
        <v>0.346</v>
      </c>
      <c r="B349">
        <v>24.5675759773456</v>
      </c>
      <c r="C349">
        <v>0.695850491982965</v>
      </c>
    </row>
    <row r="350" spans="1:3">
      <c r="A350">
        <f t="shared" si="14"/>
        <v>0.347</v>
      </c>
      <c r="B350">
        <v>24.5188507148803</v>
      </c>
      <c r="C350">
        <v>0.697021850908391</v>
      </c>
    </row>
    <row r="351" spans="1:3">
      <c r="A351">
        <f t="shared" si="14"/>
        <v>0.348</v>
      </c>
      <c r="B351">
        <v>24.47096362701</v>
      </c>
      <c r="C351">
        <v>0.698178295089473</v>
      </c>
    </row>
    <row r="352" spans="1:3">
      <c r="A352">
        <f t="shared" si="14"/>
        <v>0.349</v>
      </c>
      <c r="B352">
        <v>24.4239040419753</v>
      </c>
      <c r="C352">
        <v>0.699319826868568</v>
      </c>
    </row>
    <row r="353" spans="1:3">
      <c r="A353">
        <f t="shared" si="14"/>
        <v>0.35</v>
      </c>
      <c r="B353">
        <v>24.3776613625</v>
      </c>
      <c r="C353">
        <v>0.700446450857677</v>
      </c>
    </row>
    <row r="354" spans="1:3">
      <c r="A354">
        <f t="shared" si="14"/>
        <v>0.351</v>
      </c>
      <c r="B354">
        <v>24.3322250657917</v>
      </c>
      <c r="C354">
        <v>0.701558173935189</v>
      </c>
    </row>
    <row r="355" spans="1:3">
      <c r="A355">
        <f t="shared" si="14"/>
        <v>0.352</v>
      </c>
      <c r="B355">
        <v>24.2875847035412</v>
      </c>
      <c r="C355">
        <v>0.702655005242366</v>
      </c>
    </row>
    <row r="356" spans="1:3">
      <c r="A356">
        <f t="shared" si="14"/>
        <v>0.353</v>
      </c>
      <c r="B356">
        <v>24.2437299019231</v>
      </c>
      <c r="C356">
        <v>0.703736956179556</v>
      </c>
    </row>
    <row r="357" spans="1:3">
      <c r="A357">
        <f t="shared" si="14"/>
        <v>0.354</v>
      </c>
      <c r="B357">
        <v>24.2006503615951</v>
      </c>
      <c r="C357">
        <v>0.704804040402137</v>
      </c>
    </row>
    <row r="358" spans="1:3">
      <c r="A358">
        <f t="shared" si="14"/>
        <v>0.355</v>
      </c>
      <c r="B358">
        <v>24.1583358576988</v>
      </c>
      <c r="C358">
        <v>0.705856273816181</v>
      </c>
    </row>
    <row r="359" spans="1:3">
      <c r="A359">
        <f t="shared" si="14"/>
        <v>0.356</v>
      </c>
      <c r="B359">
        <v>24.1167762398587</v>
      </c>
      <c r="C359">
        <v>0.706893674573873</v>
      </c>
    </row>
    <row r="360" spans="1:3">
      <c r="A360">
        <f t="shared" si="14"/>
        <v>0.357</v>
      </c>
      <c r="B360">
        <v>24.0759614321832</v>
      </c>
      <c r="C360">
        <v>0.70791626306863</v>
      </c>
    </row>
    <row r="361" spans="1:3">
      <c r="A361">
        <f t="shared" si="14"/>
        <v>0.358</v>
      </c>
      <c r="B361">
        <v>24.0358814332643</v>
      </c>
      <c r="C361">
        <v>0.708924061929974</v>
      </c>
    </row>
    <row r="362" spans="1:3">
      <c r="A362">
        <f t="shared" si="14"/>
        <v>0.359</v>
      </c>
      <c r="B362">
        <v>23.996526316177</v>
      </c>
      <c r="C362">
        <v>0.709917096018127</v>
      </c>
    </row>
    <row r="363" spans="1:3">
      <c r="A363">
        <f t="shared" si="14"/>
        <v>0.36</v>
      </c>
      <c r="B363">
        <v>23.95788622848</v>
      </c>
      <c r="C363">
        <v>0.710895392418326</v>
      </c>
    </row>
    <row r="364" spans="1:3">
      <c r="A364">
        <f t="shared" si="14"/>
        <v>0.361</v>
      </c>
      <c r="B364">
        <v>23.9199513922156</v>
      </c>
      <c r="C364">
        <v>0.71185898043489</v>
      </c>
    </row>
    <row r="365" spans="1:3">
      <c r="A365">
        <f t="shared" si="14"/>
        <v>0.362</v>
      </c>
      <c r="B365">
        <v>23.8827121039094</v>
      </c>
      <c r="C365">
        <v>0.712807891585001</v>
      </c>
    </row>
    <row r="366" spans="1:3">
      <c r="A366">
        <f t="shared" si="14"/>
        <v>0.363</v>
      </c>
      <c r="B366">
        <v>23.8461587345706</v>
      </c>
      <c r="C366">
        <v>0.713742159592215</v>
      </c>
    </row>
    <row r="367" spans="1:3">
      <c r="A367">
        <f t="shared" si="14"/>
        <v>0.364</v>
      </c>
      <c r="B367">
        <v>23.8102817296917</v>
      </c>
      <c r="C367">
        <v>0.714661820379718</v>
      </c>
    </row>
    <row r="368" spans="1:3">
      <c r="A368">
        <f t="shared" si="14"/>
        <v>0.365</v>
      </c>
      <c r="B368">
        <v>23.7750716092488</v>
      </c>
      <c r="C368">
        <v>0.715566912063291</v>
      </c>
    </row>
    <row r="369" spans="1:3">
      <c r="A369">
        <f t="shared" si="14"/>
        <v>0.366</v>
      </c>
      <c r="B369">
        <v>23.7405189677014</v>
      </c>
      <c r="C369">
        <v>0.716457474944033</v>
      </c>
    </row>
    <row r="370" spans="1:3">
      <c r="A370">
        <f t="shared" si="14"/>
        <v>0.367</v>
      </c>
      <c r="B370">
        <v>23.7066144739926</v>
      </c>
      <c r="C370">
        <v>0.717333551500784</v>
      </c>
    </row>
    <row r="371" spans="1:3">
      <c r="A371">
        <f t="shared" si="14"/>
        <v>0.368</v>
      </c>
      <c r="B371">
        <v>23.673348871549</v>
      </c>
      <c r="C371">
        <v>0.71819518638229</v>
      </c>
    </row>
    <row r="372" spans="1:3">
      <c r="A372">
        <f t="shared" si="14"/>
        <v>0.369</v>
      </c>
      <c r="B372">
        <v>23.6407129782802</v>
      </c>
      <c r="C372">
        <v>0.719042426399121</v>
      </c>
    </row>
    <row r="373" spans="1:3">
      <c r="A373">
        <f t="shared" si="14"/>
        <v>0.37</v>
      </c>
      <c r="B373">
        <v>23.6086976865801</v>
      </c>
      <c r="C373">
        <v>0.71987532051528</v>
      </c>
    </row>
    <row r="374" spans="1:3">
      <c r="A374">
        <f t="shared" si="14"/>
        <v>0.371</v>
      </c>
      <c r="B374">
        <v>23.5772939633252</v>
      </c>
      <c r="C374">
        <v>0.720693919839571</v>
      </c>
    </row>
    <row r="375" spans="1:3">
      <c r="A375">
        <f t="shared" si="14"/>
        <v>0.372</v>
      </c>
      <c r="B375">
        <v>23.546492849876</v>
      </c>
      <c r="C375">
        <v>0.721498277616684</v>
      </c>
    </row>
    <row r="376" spans="1:3">
      <c r="A376">
        <f t="shared" si="14"/>
        <v>0.373</v>
      </c>
      <c r="B376">
        <v>23.5162854620764</v>
      </c>
      <c r="C376">
        <v>0.722288449218022</v>
      </c>
    </row>
    <row r="377" spans="1:3">
      <c r="A377">
        <f t="shared" si="14"/>
        <v>0.374</v>
      </c>
      <c r="B377">
        <v>23.4866629902537</v>
      </c>
      <c r="C377">
        <v>0.723064492132236</v>
      </c>
    </row>
    <row r="378" spans="1:3">
      <c r="A378">
        <f t="shared" si="14"/>
        <v>0.375</v>
      </c>
      <c r="B378">
        <v>23.4576166992188</v>
      </c>
      <c r="C378">
        <v>0.723826465955521</v>
      </c>
    </row>
    <row r="379" spans="1:3">
      <c r="A379">
        <f t="shared" si="14"/>
        <v>0.376</v>
      </c>
      <c r="B379">
        <v>23.4291379282657</v>
      </c>
      <c r="C379">
        <v>0.724574432381619</v>
      </c>
    </row>
    <row r="380" spans="1:3">
      <c r="A380">
        <f t="shared" si="14"/>
        <v>0.377</v>
      </c>
      <c r="B380">
        <v>23.4012180911724</v>
      </c>
      <c r="C380">
        <v>0.72530845519156</v>
      </c>
    </row>
    <row r="381" spans="1:3">
      <c r="A381">
        <f t="shared" si="14"/>
        <v>0.378</v>
      </c>
      <c r="B381">
        <v>23.3738486762</v>
      </c>
      <c r="C381">
        <v>0.726028600243135</v>
      </c>
    </row>
    <row r="382" spans="1:3">
      <c r="A382">
        <f t="shared" si="14"/>
        <v>0.379</v>
      </c>
      <c r="B382">
        <v>23.3470212460931</v>
      </c>
      <c r="C382">
        <v>0.726734935460097</v>
      </c>
    </row>
    <row r="383" spans="1:3">
      <c r="A383">
        <f t="shared" si="14"/>
        <v>0.38</v>
      </c>
      <c r="B383">
        <v>23.3207274380801</v>
      </c>
      <c r="C383">
        <v>0.72742753082109</v>
      </c>
    </row>
    <row r="384" spans="1:3">
      <c r="A384">
        <f t="shared" si="14"/>
        <v>0.381</v>
      </c>
      <c r="B384">
        <v>23.2949589638722</v>
      </c>
      <c r="C384">
        <v>0.728106458348317</v>
      </c>
    </row>
    <row r="385" spans="1:3">
      <c r="A385">
        <f t="shared" si="14"/>
        <v>0.382</v>
      </c>
      <c r="B385">
        <v>23.269707609665</v>
      </c>
      <c r="C385">
        <v>0.728771792095929</v>
      </c>
    </row>
    <row r="386" spans="1:3">
      <c r="A386">
        <f t="shared" si="14"/>
        <v>0.383</v>
      </c>
      <c r="B386">
        <v>23.2449652361366</v>
      </c>
      <c r="C386">
        <v>0.72942360813815</v>
      </c>
    </row>
    <row r="387" spans="1:3">
      <c r="A387">
        <f t="shared" si="14"/>
        <v>0.384</v>
      </c>
      <c r="B387">
        <v>23.2207237784495</v>
      </c>
      <c r="C387">
        <v>0.730061984557127</v>
      </c>
    </row>
    <row r="388" spans="1:3">
      <c r="A388">
        <f t="shared" si="14"/>
        <v>0.385</v>
      </c>
      <c r="B388">
        <v>23.1969752462488</v>
      </c>
      <c r="C388">
        <v>0.730687001430517</v>
      </c>
    </row>
    <row r="389" spans="1:3">
      <c r="A389">
        <f t="shared" ref="A389:A452" si="15">A388+0.001</f>
        <v>0.386</v>
      </c>
      <c r="B389">
        <v>23.1737117236636</v>
      </c>
      <c r="C389">
        <v>0.7312987408188</v>
      </c>
    </row>
    <row r="390" spans="1:3">
      <c r="A390">
        <f t="shared" si="15"/>
        <v>0.387</v>
      </c>
      <c r="B390">
        <v>23.1509253693066</v>
      </c>
      <c r="C390">
        <v>0.731897286752324</v>
      </c>
    </row>
    <row r="391" spans="1:3">
      <c r="A391">
        <f t="shared" si="15"/>
        <v>0.388</v>
      </c>
      <c r="B391">
        <v>23.1286084162735</v>
      </c>
      <c r="C391">
        <v>0.732482725218078</v>
      </c>
    </row>
    <row r="392" spans="1:3">
      <c r="A392">
        <f t="shared" si="15"/>
        <v>0.389</v>
      </c>
      <c r="B392">
        <v>23.1067531721437</v>
      </c>
      <c r="C392">
        <v>0.733055144146199</v>
      </c>
    </row>
    <row r="393" spans="1:3">
      <c r="A393">
        <f t="shared" si="15"/>
        <v>0.39</v>
      </c>
      <c r="B393">
        <v>23.08535201898</v>
      </c>
      <c r="C393">
        <v>0.733614633396207</v>
      </c>
    </row>
    <row r="394" spans="1:3">
      <c r="A394">
        <f t="shared" si="15"/>
        <v>0.391</v>
      </c>
      <c r="B394">
        <v>23.064397413329</v>
      </c>
      <c r="C394">
        <v>0.734161284742974</v>
      </c>
    </row>
    <row r="395" spans="1:3">
      <c r="A395">
        <f t="shared" si="15"/>
        <v>0.392</v>
      </c>
      <c r="B395">
        <v>23.0438818862202</v>
      </c>
      <c r="C395">
        <v>0.734695191862414</v>
      </c>
    </row>
    <row r="396" spans="1:3">
      <c r="A396">
        <f t="shared" si="15"/>
        <v>0.393</v>
      </c>
      <c r="B396">
        <v>23.0237980431673</v>
      </c>
      <c r="C396">
        <v>0.735216450316911</v>
      </c>
    </row>
    <row r="397" spans="1:3">
      <c r="A397">
        <f t="shared" si="15"/>
        <v>0.394</v>
      </c>
      <c r="B397">
        <v>23.0041385641667</v>
      </c>
      <c r="C397">
        <v>0.73572515754048</v>
      </c>
    </row>
    <row r="398" spans="1:3">
      <c r="A398">
        <f t="shared" si="15"/>
        <v>0.395</v>
      </c>
      <c r="B398">
        <v>22.9848962036988</v>
      </c>
      <c r="C398">
        <v>0.736221412823655</v>
      </c>
    </row>
    <row r="399" spans="1:3">
      <c r="A399">
        <f t="shared" si="15"/>
        <v>0.396</v>
      </c>
      <c r="B399">
        <v>22.9660637907272</v>
      </c>
      <c r="C399">
        <v>0.736705317298095</v>
      </c>
    </row>
    <row r="400" spans="1:3">
      <c r="A400">
        <f t="shared" si="15"/>
        <v>0.397</v>
      </c>
      <c r="B400">
        <v>22.9476342286992</v>
      </c>
      <c r="C400">
        <v>0.737176973920951</v>
      </c>
    </row>
    <row r="401" spans="1:3">
      <c r="A401">
        <f t="shared" si="15"/>
        <v>0.398</v>
      </c>
      <c r="B401">
        <v>22.9296004955453</v>
      </c>
      <c r="C401">
        <v>0.73763648745893</v>
      </c>
    </row>
    <row r="402" spans="1:3">
      <c r="A402">
        <f t="shared" si="15"/>
        <v>0.399</v>
      </c>
      <c r="B402">
        <v>22.9119556436797</v>
      </c>
      <c r="C402">
        <v>0.738083964472104</v>
      </c>
    </row>
    <row r="403" spans="1:3">
      <c r="A403">
        <f t="shared" si="15"/>
        <v>0.4</v>
      </c>
      <c r="B403">
        <v>22.8946928000001</v>
      </c>
      <c r="C403">
        <v>0.738519513297457</v>
      </c>
    </row>
    <row r="404" spans="1:3">
      <c r="A404">
        <f t="shared" si="15"/>
        <v>0.401</v>
      </c>
      <c r="B404">
        <v>22.8778051658874</v>
      </c>
      <c r="C404">
        <v>0.738943244032149</v>
      </c>
    </row>
    <row r="405" spans="1:3">
      <c r="A405">
        <f t="shared" si="15"/>
        <v>0.402</v>
      </c>
      <c r="B405">
        <v>22.8612860172061</v>
      </c>
      <c r="C405">
        <v>0.739355268516519</v>
      </c>
    </row>
    <row r="406" spans="1:3">
      <c r="A406">
        <f t="shared" si="15"/>
        <v>0.403</v>
      </c>
      <c r="B406">
        <v>22.8451287043044</v>
      </c>
      <c r="C406">
        <v>0.739755700316806</v>
      </c>
    </row>
    <row r="407" spans="1:3">
      <c r="A407">
        <f t="shared" si="15"/>
        <v>0.404</v>
      </c>
      <c r="B407">
        <v>22.8293266520136</v>
      </c>
      <c r="C407">
        <v>0.74014465470763</v>
      </c>
    </row>
    <row r="408" spans="1:3">
      <c r="A408">
        <f t="shared" si="15"/>
        <v>0.405</v>
      </c>
      <c r="B408">
        <v>22.8138733596488</v>
      </c>
      <c r="C408">
        <v>0.740522248654156</v>
      </c>
    </row>
    <row r="409" spans="1:3">
      <c r="A409">
        <f t="shared" si="15"/>
        <v>0.406</v>
      </c>
      <c r="B409">
        <v>22.7987624010084</v>
      </c>
      <c r="C409">
        <v>0.740888600794036</v>
      </c>
    </row>
    <row r="410" spans="1:3">
      <c r="A410">
        <f t="shared" si="15"/>
        <v>0.407</v>
      </c>
      <c r="B410">
        <v>22.7839874243741</v>
      </c>
      <c r="C410">
        <v>0.741243831419052</v>
      </c>
    </row>
    <row r="411" spans="1:3">
      <c r="A411">
        <f t="shared" si="15"/>
        <v>0.408</v>
      </c>
      <c r="B411">
        <v>22.7695421525115</v>
      </c>
      <c r="C411">
        <v>0.741588062456501</v>
      </c>
    </row>
    <row r="412" spans="1:3">
      <c r="A412">
        <f t="shared" si="15"/>
        <v>0.409</v>
      </c>
      <c r="B412">
        <v>22.7554203826694</v>
      </c>
      <c r="C412">
        <v>0.7419214174503</v>
      </c>
    </row>
    <row r="413" spans="1:3">
      <c r="A413">
        <f t="shared" si="15"/>
        <v>0.41</v>
      </c>
      <c r="B413">
        <v>22.7416159865801</v>
      </c>
      <c r="C413">
        <v>0.74224402154184</v>
      </c>
    </row>
    <row r="414" spans="1:3">
      <c r="A414">
        <f t="shared" si="15"/>
        <v>0.411</v>
      </c>
      <c r="B414">
        <v>22.7281229104593</v>
      </c>
      <c r="C414">
        <v>0.742556001450553</v>
      </c>
    </row>
    <row r="415" spans="1:3">
      <c r="A415">
        <f t="shared" si="15"/>
        <v>0.412</v>
      </c>
      <c r="B415">
        <v>22.7149351750062</v>
      </c>
      <c r="C415">
        <v>0.742857485454211</v>
      </c>
    </row>
    <row r="416" spans="1:3">
      <c r="A416">
        <f t="shared" si="15"/>
        <v>0.413</v>
      </c>
      <c r="B416">
        <v>22.7020468754037</v>
      </c>
      <c r="C416">
        <v>0.743148603368968</v>
      </c>
    </row>
    <row r="417" spans="1:3">
      <c r="A417">
        <f t="shared" si="15"/>
        <v>0.414</v>
      </c>
      <c r="B417">
        <v>22.6894521813181</v>
      </c>
      <c r="C417">
        <v>0.743429486529117</v>
      </c>
    </row>
    <row r="418" spans="1:3">
      <c r="A418">
        <f t="shared" si="15"/>
        <v>0.415</v>
      </c>
      <c r="B418">
        <v>22.6771453368988</v>
      </c>
      <c r="C418">
        <v>0.743700267766591</v>
      </c>
    </row>
    <row r="419" spans="1:3">
      <c r="A419">
        <f t="shared" si="15"/>
        <v>0.416</v>
      </c>
      <c r="B419">
        <v>22.6651206607791</v>
      </c>
      <c r="C419">
        <v>0.743961081390185</v>
      </c>
    </row>
    <row r="420" spans="1:3">
      <c r="A420">
        <f t="shared" si="15"/>
        <v>0.417</v>
      </c>
      <c r="B420">
        <v>22.6533725460755</v>
      </c>
      <c r="C420">
        <v>0.744212063164507</v>
      </c>
    </row>
    <row r="421" spans="1:3">
      <c r="A421">
        <f t="shared" si="15"/>
        <v>0.418</v>
      </c>
      <c r="B421">
        <v>22.6418954603882</v>
      </c>
      <c r="C421">
        <v>0.744453350288671</v>
      </c>
    </row>
    <row r="422" spans="1:3">
      <c r="A422">
        <f t="shared" si="15"/>
        <v>0.419</v>
      </c>
      <c r="B422">
        <v>22.6306839458007</v>
      </c>
      <c r="C422">
        <v>0.744685081374702</v>
      </c>
    </row>
    <row r="423" spans="1:3">
      <c r="A423">
        <f t="shared" si="15"/>
        <v>0.42</v>
      </c>
      <c r="B423">
        <v>22.6197326188801</v>
      </c>
      <c r="C423">
        <v>0.744907396425699</v>
      </c>
    </row>
    <row r="424" spans="1:3">
      <c r="A424">
        <f t="shared" si="15"/>
        <v>0.421</v>
      </c>
      <c r="B424">
        <v>22.6090361706768</v>
      </c>
      <c r="C424">
        <v>0.745120436813691</v>
      </c>
    </row>
    <row r="425" spans="1:3">
      <c r="A425">
        <f t="shared" si="15"/>
        <v>0.422</v>
      </c>
      <c r="B425">
        <v>22.5985893667248</v>
      </c>
      <c r="C425">
        <v>0.745324345257268</v>
      </c>
    </row>
    <row r="426" spans="1:3">
      <c r="A426">
        <f t="shared" si="15"/>
        <v>0.423</v>
      </c>
      <c r="B426">
        <v>22.5883870470417</v>
      </c>
      <c r="C426">
        <v>0.745519265798889</v>
      </c>
    </row>
    <row r="427" spans="1:3">
      <c r="A427">
        <f t="shared" si="15"/>
        <v>0.424</v>
      </c>
      <c r="B427">
        <v>22.5784241261282</v>
      </c>
      <c r="C427">
        <v>0.745705343781976</v>
      </c>
    </row>
    <row r="428" spans="1:3">
      <c r="A428">
        <f t="shared" si="15"/>
        <v>0.425</v>
      </c>
      <c r="B428">
        <v>22.5686955929689</v>
      </c>
      <c r="C428">
        <v>0.745882725827698</v>
      </c>
    </row>
    <row r="429" spans="1:3">
      <c r="A429">
        <f t="shared" si="15"/>
        <v>0.426</v>
      </c>
      <c r="B429">
        <v>22.5591965110314</v>
      </c>
      <c r="C429">
        <v>0.746051559811503</v>
      </c>
    </row>
    <row r="430" spans="1:3">
      <c r="A430">
        <f t="shared" si="15"/>
        <v>0.427</v>
      </c>
      <c r="B430">
        <v>22.5499220182672</v>
      </c>
      <c r="C430">
        <v>0.746211994839378</v>
      </c>
    </row>
    <row r="431" spans="1:3">
      <c r="A431">
        <f t="shared" si="15"/>
        <v>0.428</v>
      </c>
      <c r="B431">
        <v>22.5408673271113</v>
      </c>
      <c r="C431">
        <v>0.746364181223829</v>
      </c>
    </row>
    <row r="432" spans="1:3">
      <c r="A432">
        <f t="shared" si="15"/>
        <v>0.429</v>
      </c>
      <c r="B432">
        <v>22.5320277244816</v>
      </c>
      <c r="C432">
        <v>0.746508270459623</v>
      </c>
    </row>
    <row r="433" spans="1:3">
      <c r="A433">
        <f t="shared" si="15"/>
        <v>0.43</v>
      </c>
      <c r="B433">
        <v>22.5233985717801</v>
      </c>
      <c r="C433">
        <v>0.746644415199204</v>
      </c>
    </row>
    <row r="434" spans="1:3">
      <c r="A434">
        <f t="shared" si="15"/>
        <v>0.431</v>
      </c>
      <c r="B434">
        <v>22.5149753048919</v>
      </c>
      <c r="C434">
        <v>0.746772769227904</v>
      </c>
    </row>
    <row r="435" spans="1:3">
      <c r="A435">
        <f t="shared" si="15"/>
        <v>0.432</v>
      </c>
      <c r="B435">
        <v>22.5067534341858</v>
      </c>
      <c r="C435">
        <v>0.746893487438842</v>
      </c>
    </row>
    <row r="436" spans="1:3">
      <c r="A436">
        <f t="shared" si="15"/>
        <v>0.433</v>
      </c>
      <c r="B436">
        <v>22.4987285445139</v>
      </c>
      <c r="C436">
        <v>0.74700672580755</v>
      </c>
    </row>
    <row r="437" spans="1:3">
      <c r="A437">
        <f t="shared" si="15"/>
        <v>0.434</v>
      </c>
      <c r="B437">
        <v>22.4908962952117</v>
      </c>
      <c r="C437">
        <v>0.747112641366375</v>
      </c>
    </row>
    <row r="438" spans="1:3">
      <c r="A438">
        <f t="shared" si="15"/>
        <v>0.435</v>
      </c>
      <c r="B438">
        <v>22.4832524200988</v>
      </c>
      <c r="C438">
        <v>0.747211392178549</v>
      </c>
    </row>
    <row r="439" spans="1:3">
      <c r="A439">
        <f t="shared" si="15"/>
        <v>0.436</v>
      </c>
      <c r="B439">
        <v>22.4757927274773</v>
      </c>
      <c r="C439">
        <v>0.747303137312049</v>
      </c>
    </row>
    <row r="440" spans="1:3">
      <c r="A440">
        <f t="shared" si="15"/>
        <v>0.437</v>
      </c>
      <c r="B440">
        <v>22.4685131001333</v>
      </c>
      <c r="C440">
        <v>0.747388036813132</v>
      </c>
    </row>
    <row r="441" spans="1:3">
      <c r="A441">
        <f t="shared" si="15"/>
        <v>0.438</v>
      </c>
      <c r="B441">
        <v>22.4614094953366</v>
      </c>
      <c r="C441">
        <v>0.747466251679657</v>
      </c>
    </row>
    <row r="442" spans="1:3">
      <c r="A442">
        <f t="shared" si="15"/>
        <v>0.439</v>
      </c>
      <c r="B442">
        <v>22.4544779448399</v>
      </c>
      <c r="C442">
        <v>0.747537943834077</v>
      </c>
    </row>
    <row r="443" spans="1:3">
      <c r="A443">
        <f t="shared" si="15"/>
        <v>0.44</v>
      </c>
      <c r="B443">
        <v>22.4477145548801</v>
      </c>
      <c r="C443">
        <v>0.747603276096211</v>
      </c>
    </row>
    <row r="444" spans="1:3">
      <c r="A444">
        <f t="shared" si="15"/>
        <v>0.441</v>
      </c>
      <c r="B444">
        <v>22.4411155061766</v>
      </c>
      <c r="C444">
        <v>0.747662412155734</v>
      </c>
    </row>
    <row r="445" spans="1:3">
      <c r="A445">
        <f t="shared" si="15"/>
        <v>0.442</v>
      </c>
      <c r="B445">
        <v>22.4346770539331</v>
      </c>
      <c r="C445">
        <v>0.747715516544367</v>
      </c>
    </row>
    <row r="446" spans="1:3">
      <c r="A446">
        <f t="shared" si="15"/>
        <v>0.443</v>
      </c>
      <c r="B446">
        <v>22.4283955278366</v>
      </c>
      <c r="C446">
        <v>0.747762754607848</v>
      </c>
    </row>
    <row r="447" spans="1:3">
      <c r="A447">
        <f t="shared" si="15"/>
        <v>0.444</v>
      </c>
      <c r="B447">
        <v>22.4222673320572</v>
      </c>
      <c r="C447">
        <v>0.747804292477581</v>
      </c>
    </row>
    <row r="448" spans="1:3">
      <c r="A448">
        <f t="shared" si="15"/>
        <v>0.445</v>
      </c>
      <c r="B448">
        <v>22.4162889452488</v>
      </c>
      <c r="C448">
        <v>0.747840297042072</v>
      </c>
    </row>
    <row r="449" spans="1:3">
      <c r="A449">
        <f t="shared" si="15"/>
        <v>0.446</v>
      </c>
      <c r="B449">
        <v>22.4104569205488</v>
      </c>
      <c r="C449">
        <v>0.747870935918024</v>
      </c>
    </row>
    <row r="450" spans="1:3">
      <c r="A450">
        <f t="shared" si="15"/>
        <v>0.447</v>
      </c>
      <c r="B450">
        <v>22.4047678855779</v>
      </c>
      <c r="C450">
        <v>0.747896377421245</v>
      </c>
    </row>
    <row r="451" spans="1:3">
      <c r="A451">
        <f t="shared" si="15"/>
        <v>0.448</v>
      </c>
      <c r="B451">
        <v>22.3992185424405</v>
      </c>
      <c r="C451">
        <v>0.747916790537215</v>
      </c>
    </row>
    <row r="452" spans="1:3">
      <c r="A452">
        <f t="shared" si="15"/>
        <v>0.449</v>
      </c>
      <c r="B452">
        <v>22.3938056677241</v>
      </c>
      <c r="C452">
        <v>0.747932344891426</v>
      </c>
    </row>
    <row r="453" spans="1:3">
      <c r="A453">
        <f t="shared" ref="A453:A516" si="16">A452+0.001</f>
        <v>0.45</v>
      </c>
      <c r="B453">
        <v>22.3885261125001</v>
      </c>
      <c r="C453">
        <v>0.747943210719432</v>
      </c>
    </row>
    <row r="454" spans="1:3">
      <c r="A454">
        <f t="shared" si="16"/>
        <v>0.451</v>
      </c>
      <c r="B454">
        <v>22.3833768023229</v>
      </c>
      <c r="C454">
        <v>0.747949558836642</v>
      </c>
    </row>
    <row r="455" spans="1:3">
      <c r="A455">
        <f t="shared" si="16"/>
        <v>0.452</v>
      </c>
      <c r="B455">
        <v>22.3783547372309</v>
      </c>
      <c r="C455">
        <v>0.747951560607828</v>
      </c>
    </row>
    <row r="456" spans="1:3">
      <c r="A456">
        <f t="shared" si="16"/>
        <v>0.453</v>
      </c>
      <c r="B456">
        <v>22.3734569917455</v>
      </c>
      <c r="C456">
        <v>0.747949387916389</v>
      </c>
    </row>
    <row r="457" spans="1:3">
      <c r="A457">
        <f t="shared" si="16"/>
        <v>0.454</v>
      </c>
      <c r="B457">
        <v>22.3686807148721</v>
      </c>
      <c r="C457">
        <v>0.747943213133309</v>
      </c>
    </row>
    <row r="458" spans="1:3">
      <c r="A458">
        <f t="shared" si="16"/>
        <v>0.455</v>
      </c>
      <c r="B458">
        <v>22.3640231300988</v>
      </c>
      <c r="C458">
        <v>0.747933209085894</v>
      </c>
    </row>
    <row r="459" spans="1:3">
      <c r="A459">
        <f t="shared" si="16"/>
        <v>0.456</v>
      </c>
      <c r="B459">
        <v>22.3594815353979</v>
      </c>
      <c r="C459">
        <v>0.747919549026175</v>
      </c>
    </row>
    <row r="460" spans="1:3">
      <c r="A460">
        <f t="shared" si="16"/>
        <v>0.457</v>
      </c>
      <c r="B460">
        <v>22.3550533032249</v>
      </c>
      <c r="C460">
        <v>0.747902406599098</v>
      </c>
    </row>
    <row r="461" spans="1:3">
      <c r="A461">
        <f t="shared" si="16"/>
        <v>0.458</v>
      </c>
      <c r="B461">
        <v>22.3507358805187</v>
      </c>
      <c r="C461">
        <v>0.747881955810434</v>
      </c>
    </row>
    <row r="462" spans="1:3">
      <c r="A462">
        <f t="shared" si="16"/>
        <v>0.459</v>
      </c>
      <c r="B462">
        <v>22.3465267887018</v>
      </c>
      <c r="C462">
        <v>0.747858370994391</v>
      </c>
    </row>
    <row r="463" spans="1:3">
      <c r="A463">
        <f t="shared" si="16"/>
        <v>0.46</v>
      </c>
      <c r="B463">
        <v>22.34242362368</v>
      </c>
      <c r="C463">
        <v>0.747831826780974</v>
      </c>
    </row>
    <row r="464" spans="1:3">
      <c r="A464">
        <f t="shared" si="16"/>
        <v>0.461</v>
      </c>
      <c r="B464">
        <v>22.3384240558428</v>
      </c>
      <c r="C464">
        <v>0.747802498063081</v>
      </c>
    </row>
    <row r="465" spans="1:3">
      <c r="A465">
        <f t="shared" si="16"/>
        <v>0.462</v>
      </c>
      <c r="B465">
        <v>22.334525830063</v>
      </c>
      <c r="C465">
        <v>0.747770559963338</v>
      </c>
    </row>
    <row r="466" spans="1:3">
      <c r="A466">
        <f t="shared" si="16"/>
        <v>0.463</v>
      </c>
      <c r="B466">
        <v>22.3307267656971</v>
      </c>
      <c r="C466">
        <v>0.747736187800619</v>
      </c>
    </row>
    <row r="467" spans="1:3">
      <c r="A467">
        <f t="shared" si="16"/>
        <v>0.464</v>
      </c>
      <c r="B467">
        <v>22.3270247565844</v>
      </c>
      <c r="C467">
        <v>0.747699557056364</v>
      </c>
    </row>
    <row r="468" spans="1:3">
      <c r="A468">
        <f t="shared" si="16"/>
        <v>0.465</v>
      </c>
      <c r="B468">
        <v>22.3234177710488</v>
      </c>
      <c r="C468">
        <v>0.747660843340564</v>
      </c>
    </row>
    <row r="469" spans="1:3">
      <c r="A469">
        <f t="shared" si="16"/>
        <v>0.466</v>
      </c>
      <c r="B469">
        <v>22.3199038518966</v>
      </c>
      <c r="C469">
        <v>0.747620222357511</v>
      </c>
    </row>
    <row r="470" spans="1:3">
      <c r="A470">
        <f t="shared" si="16"/>
        <v>0.467</v>
      </c>
      <c r="B470">
        <v>22.3164811164183</v>
      </c>
      <c r="C470">
        <v>0.747577869871274</v>
      </c>
    </row>
    <row r="471" spans="1:3">
      <c r="A471">
        <f t="shared" si="16"/>
        <v>0.468</v>
      </c>
      <c r="B471">
        <v>22.3131477563873</v>
      </c>
      <c r="C471">
        <v>0.747533961670906</v>
      </c>
    </row>
    <row r="472" spans="1:3">
      <c r="A472">
        <f t="shared" si="16"/>
        <v>0.469</v>
      </c>
      <c r="B472">
        <v>22.3099020380611</v>
      </c>
      <c r="C472">
        <v>0.747488673535368</v>
      </c>
    </row>
    <row r="473" spans="1:3">
      <c r="A473">
        <f t="shared" si="16"/>
        <v>0.47</v>
      </c>
      <c r="B473">
        <v>22.3067423021801</v>
      </c>
      <c r="C473">
        <v>0.747442181198196</v>
      </c>
    </row>
    <row r="474" spans="1:3">
      <c r="A474">
        <f t="shared" si="16"/>
        <v>0.471</v>
      </c>
      <c r="B474">
        <v>22.3036669639684</v>
      </c>
      <c r="C474">
        <v>0.747394660311902</v>
      </c>
    </row>
    <row r="475" spans="1:3">
      <c r="A475">
        <f t="shared" si="16"/>
        <v>0.472</v>
      </c>
      <c r="B475">
        <v>22.3006745131336</v>
      </c>
      <c r="C475">
        <v>0.747346286412086</v>
      </c>
    </row>
    <row r="476" spans="1:3">
      <c r="A476">
        <f t="shared" si="16"/>
        <v>0.473</v>
      </c>
      <c r="B476">
        <v>22.2977635138668</v>
      </c>
      <c r="C476">
        <v>0.747297234881311</v>
      </c>
    </row>
    <row r="477" spans="1:3">
      <c r="A477">
        <f t="shared" si="16"/>
        <v>0.474</v>
      </c>
      <c r="B477">
        <v>22.2949326048426</v>
      </c>
      <c r="C477">
        <v>0.747247680912654</v>
      </c>
    </row>
    <row r="478" spans="1:3">
      <c r="A478">
        <f t="shared" si="16"/>
        <v>0.475</v>
      </c>
      <c r="B478">
        <v>22.2921804992188</v>
      </c>
      <c r="C478">
        <v>0.747197799473073</v>
      </c>
    </row>
    <row r="479" spans="1:3">
      <c r="A479">
        <f t="shared" si="16"/>
        <v>0.476</v>
      </c>
      <c r="B479">
        <v>22.289505984637</v>
      </c>
      <c r="C479">
        <v>0.747147765266399</v>
      </c>
    </row>
    <row r="480" spans="1:3">
      <c r="A480">
        <f t="shared" si="16"/>
        <v>0.477</v>
      </c>
      <c r="B480">
        <v>22.286907923222</v>
      </c>
      <c r="C480">
        <v>0.74709775269615</v>
      </c>
    </row>
    <row r="481" spans="1:3">
      <c r="A481">
        <f t="shared" si="16"/>
        <v>0.478</v>
      </c>
      <c r="B481">
        <v>22.2843852515824</v>
      </c>
      <c r="C481">
        <v>0.747047935828019</v>
      </c>
    </row>
    <row r="482" spans="1:3">
      <c r="A482">
        <f t="shared" si="16"/>
        <v>0.479</v>
      </c>
      <c r="B482">
        <v>22.2819369808101</v>
      </c>
      <c r="C482">
        <v>0.746998488352115</v>
      </c>
    </row>
    <row r="483" spans="1:3">
      <c r="A483">
        <f t="shared" si="16"/>
        <v>0.48</v>
      </c>
      <c r="B483">
        <v>22.27956219648</v>
      </c>
      <c r="C483">
        <v>0.746949583544946</v>
      </c>
    </row>
    <row r="484" spans="1:3">
      <c r="A484">
        <f t="shared" si="16"/>
        <v>0.481</v>
      </c>
      <c r="B484">
        <v>22.2772600586515</v>
      </c>
      <c r="C484">
        <v>0.746901394231085</v>
      </c>
    </row>
    <row r="485" spans="1:3">
      <c r="A485">
        <f t="shared" si="16"/>
        <v>0.482</v>
      </c>
      <c r="B485">
        <v>22.2750298018666</v>
      </c>
      <c r="C485">
        <v>0.74685409274463</v>
      </c>
    </row>
    <row r="486" spans="1:3">
      <c r="A486">
        <f t="shared" si="16"/>
        <v>0.483</v>
      </c>
      <c r="B486">
        <v>22.2728707351511</v>
      </c>
      <c r="C486">
        <v>0.746807850890344</v>
      </c>
    </row>
    <row r="487" spans="1:3">
      <c r="A487">
        <f t="shared" si="16"/>
        <v>0.484</v>
      </c>
      <c r="B487">
        <v>22.2707822420142</v>
      </c>
      <c r="C487">
        <v>0.746762839904555</v>
      </c>
    </row>
    <row r="488" spans="1:3">
      <c r="A488">
        <f t="shared" si="16"/>
        <v>0.485</v>
      </c>
      <c r="B488">
        <v>22.2687637804488</v>
      </c>
      <c r="C488">
        <v>0.746719230415753</v>
      </c>
    </row>
    <row r="489" spans="1:3">
      <c r="A489">
        <f t="shared" si="16"/>
        <v>0.486</v>
      </c>
      <c r="B489">
        <v>22.2668148829309</v>
      </c>
      <c r="C489">
        <v>0.746677192404978</v>
      </c>
    </row>
    <row r="490" spans="1:3">
      <c r="A490">
        <f t="shared" si="16"/>
        <v>0.487</v>
      </c>
      <c r="B490">
        <v>22.2649351564203</v>
      </c>
      <c r="C490">
        <v>0.746636895165859</v>
      </c>
    </row>
    <row r="491" spans="1:3">
      <c r="A491">
        <f t="shared" si="16"/>
        <v>0.488</v>
      </c>
      <c r="B491">
        <v>22.2631242823598</v>
      </c>
      <c r="C491">
        <v>0.746598507264458</v>
      </c>
    </row>
    <row r="492" spans="1:3">
      <c r="A492">
        <f t="shared" si="16"/>
        <v>0.489</v>
      </c>
      <c r="B492">
        <v>22.2613820166764</v>
      </c>
      <c r="C492">
        <v>0.74656219649879</v>
      </c>
    </row>
    <row r="493" spans="1:3">
      <c r="A493">
        <f t="shared" si="16"/>
        <v>0.49</v>
      </c>
      <c r="B493">
        <v>22.2597081897801</v>
      </c>
      <c r="C493">
        <v>0.746528129858095</v>
      </c>
    </row>
    <row r="494" spans="1:3">
      <c r="A494">
        <f t="shared" si="16"/>
        <v>0.491</v>
      </c>
      <c r="B494">
        <v>22.2581027065642</v>
      </c>
      <c r="C494">
        <v>0.746496473481859</v>
      </c>
    </row>
    <row r="495" spans="1:3">
      <c r="A495">
        <f t="shared" si="16"/>
        <v>0.492</v>
      </c>
      <c r="B495">
        <v>22.2565655464059</v>
      </c>
      <c r="C495">
        <v>0.746467392618509</v>
      </c>
    </row>
    <row r="496" spans="1:3">
      <c r="A496">
        <f t="shared" si="16"/>
        <v>0.493</v>
      </c>
      <c r="B496">
        <v>22.2550967631657</v>
      </c>
      <c r="C496">
        <v>0.746441051583922</v>
      </c>
    </row>
    <row r="497" spans="1:3">
      <c r="A497">
        <f t="shared" si="16"/>
        <v>0.494</v>
      </c>
      <c r="B497">
        <v>22.2536964851876</v>
      </c>
      <c r="C497">
        <v>0.746417613719579</v>
      </c>
    </row>
    <row r="498" spans="1:3">
      <c r="A498">
        <f t="shared" si="16"/>
        <v>0.495</v>
      </c>
      <c r="B498">
        <v>22.2523649152988</v>
      </c>
      <c r="C498">
        <v>0.746397241350501</v>
      </c>
    </row>
    <row r="499" spans="1:3">
      <c r="A499">
        <f t="shared" si="16"/>
        <v>0.496</v>
      </c>
      <c r="B499">
        <v>22.2511023308103</v>
      </c>
      <c r="C499">
        <v>0.74638009574291</v>
      </c>
    </row>
    <row r="500" spans="1:3">
      <c r="A500">
        <f t="shared" si="16"/>
        <v>0.497</v>
      </c>
      <c r="B500">
        <v>22.2499090835168</v>
      </c>
      <c r="C500">
        <v>0.746366337061593</v>
      </c>
    </row>
    <row r="501" spans="1:3">
      <c r="A501">
        <f t="shared" si="16"/>
        <v>0.498</v>
      </c>
      <c r="B501">
        <v>22.2487855996957</v>
      </c>
      <c r="C501">
        <v>0.746356124327048</v>
      </c>
    </row>
    <row r="502" spans="1:3">
      <c r="A502">
        <f t="shared" si="16"/>
        <v>0.499</v>
      </c>
      <c r="B502">
        <v>22.2477323801085</v>
      </c>
      <c r="C502">
        <v>0.746349615372296</v>
      </c>
    </row>
    <row r="503" spans="1:3">
      <c r="A503">
        <f t="shared" si="16"/>
        <v>0.5</v>
      </c>
      <c r="B503">
        <v>22.24675</v>
      </c>
      <c r="C503">
        <v>0.748931963046352</v>
      </c>
    </row>
    <row r="504" spans="1:3">
      <c r="A504">
        <f t="shared" si="16"/>
        <v>0.501</v>
      </c>
      <c r="B504">
        <v>22.2458391090983</v>
      </c>
      <c r="C504">
        <v>0.749268346300982</v>
      </c>
    </row>
    <row r="505" spans="1:3">
      <c r="A505">
        <f t="shared" si="16"/>
        <v>0.502</v>
      </c>
      <c r="B505">
        <v>22.2450004316157</v>
      </c>
      <c r="C505">
        <v>0.749583489909864</v>
      </c>
    </row>
    <row r="506" spans="1:3">
      <c r="A506">
        <f t="shared" si="16"/>
        <v>0.503</v>
      </c>
      <c r="B506">
        <v>22.2442347662466</v>
      </c>
      <c r="C506">
        <v>0.749878066994418</v>
      </c>
    </row>
    <row r="507" spans="1:3">
      <c r="A507">
        <f t="shared" si="16"/>
        <v>0.504</v>
      </c>
      <c r="B507">
        <v>22.2435429861705</v>
      </c>
      <c r="C507">
        <v>0.750152736307541</v>
      </c>
    </row>
    <row r="508" spans="1:3">
      <c r="A508">
        <f t="shared" si="16"/>
        <v>0.505</v>
      </c>
      <c r="B508">
        <v>22.2429260390487</v>
      </c>
      <c r="C508">
        <v>0.750408142389068</v>
      </c>
    </row>
    <row r="509" spans="1:3">
      <c r="A509">
        <f t="shared" si="16"/>
        <v>0.506</v>
      </c>
      <c r="B509">
        <v>22.2423849470275</v>
      </c>
      <c r="C509">
        <v>0.750644915713659</v>
      </c>
    </row>
    <row r="510" spans="1:3">
      <c r="A510">
        <f t="shared" si="16"/>
        <v>0.507</v>
      </c>
      <c r="B510">
        <v>22.2419208067358</v>
      </c>
      <c r="C510">
        <v>0.750863672844558</v>
      </c>
    </row>
    <row r="511" spans="1:3">
      <c r="A511">
        <f t="shared" si="16"/>
        <v>0.508</v>
      </c>
      <c r="B511">
        <v>22.2415347892859</v>
      </c>
      <c r="C511">
        <v>0.751065016582091</v>
      </c>
    </row>
    <row r="512" spans="1:3">
      <c r="A512">
        <f t="shared" si="16"/>
        <v>0.509</v>
      </c>
      <c r="B512">
        <v>22.2412281402742</v>
      </c>
      <c r="C512">
        <v>0.751249536113158</v>
      </c>
    </row>
    <row r="513" spans="1:3">
      <c r="A513">
        <f t="shared" si="16"/>
        <v>0.51</v>
      </c>
      <c r="B513">
        <v>22.24100217978</v>
      </c>
      <c r="C513">
        <v>0.751417807161166</v>
      </c>
    </row>
    <row r="514" spans="1:3">
      <c r="A514">
        <f t="shared" si="16"/>
        <v>0.511</v>
      </c>
      <c r="B514">
        <v>22.2408583023663</v>
      </c>
      <c r="C514">
        <v>0.751570392132617</v>
      </c>
    </row>
    <row r="515" spans="1:3">
      <c r="A515">
        <f t="shared" si="16"/>
        <v>0.512</v>
      </c>
      <c r="B515">
        <v>22.24079797708</v>
      </c>
      <c r="C515">
        <v>0.751707840265464</v>
      </c>
    </row>
    <row r="516" spans="1:3">
      <c r="A516">
        <f t="shared" si="16"/>
        <v>0.513</v>
      </c>
      <c r="B516">
        <v>22.2408227474502</v>
      </c>
      <c r="C516">
        <v>0.751830687776918</v>
      </c>
    </row>
    <row r="517" spans="1:3">
      <c r="A517">
        <f t="shared" ref="A517:A580" si="17">A516+0.001</f>
        <v>0.514</v>
      </c>
      <c r="B517">
        <v>22.240934231491</v>
      </c>
      <c r="C517">
        <v>0.751939458007233</v>
      </c>
    </row>
    <row r="518" spans="1:3">
      <c r="A518">
        <f t="shared" si="17"/>
        <v>0.515</v>
      </c>
      <c r="B518">
        <v>22.2411341216989</v>
      </c>
      <c r="C518">
        <v>0.752034661567457</v>
      </c>
    </row>
    <row r="519" spans="1:3">
      <c r="A519">
        <f t="shared" si="17"/>
        <v>0.516</v>
      </c>
      <c r="B519">
        <v>22.2414241850544</v>
      </c>
      <c r="C519">
        <v>0.752116796482905</v>
      </c>
    </row>
    <row r="520" spans="1:3">
      <c r="A520">
        <f t="shared" si="17"/>
        <v>0.517</v>
      </c>
      <c r="B520">
        <v>22.2418062630211</v>
      </c>
      <c r="C520">
        <v>0.752186348338449</v>
      </c>
    </row>
    <row r="521" spans="1:3">
      <c r="A521">
        <f t="shared" si="17"/>
        <v>0.518</v>
      </c>
      <c r="B521">
        <v>22.2422822715465</v>
      </c>
      <c r="C521">
        <v>0.752243790420828</v>
      </c>
    </row>
    <row r="522" spans="1:3">
      <c r="A522">
        <f t="shared" si="17"/>
        <v>0.519</v>
      </c>
      <c r="B522">
        <v>22.2428542010614</v>
      </c>
      <c r="C522">
        <v>0.752289583862646</v>
      </c>
    </row>
    <row r="523" spans="1:3">
      <c r="A523">
        <f t="shared" si="17"/>
        <v>0.52</v>
      </c>
      <c r="B523">
        <v>22.24352411648</v>
      </c>
      <c r="C523">
        <v>0.752324177783983</v>
      </c>
    </row>
    <row r="524" spans="1:3">
      <c r="A524">
        <f t="shared" si="17"/>
        <v>0.521</v>
      </c>
      <c r="B524">
        <v>22.2442941572001</v>
      </c>
      <c r="C524">
        <v>0.752348009434267</v>
      </c>
    </row>
    <row r="525" spans="1:3">
      <c r="A525">
        <f t="shared" si="17"/>
        <v>0.522</v>
      </c>
      <c r="B525">
        <v>22.2451665371025</v>
      </c>
      <c r="C525">
        <v>0.752361504333464</v>
      </c>
    </row>
    <row r="526" spans="1:3">
      <c r="A526">
        <f t="shared" si="17"/>
        <v>0.523</v>
      </c>
      <c r="B526">
        <v>22.2461435445519</v>
      </c>
      <c r="C526">
        <v>0.752365076411416</v>
      </c>
    </row>
    <row r="527" spans="1:3">
      <c r="A527">
        <f t="shared" si="17"/>
        <v>0.524</v>
      </c>
      <c r="B527">
        <v>22.247227542397</v>
      </c>
      <c r="C527">
        <v>0.752359128147953</v>
      </c>
    </row>
    <row r="528" spans="1:3">
      <c r="A528">
        <f t="shared" si="17"/>
        <v>0.525</v>
      </c>
      <c r="B528">
        <v>22.2484209679689</v>
      </c>
      <c r="C528">
        <v>0.752344050712525</v>
      </c>
    </row>
    <row r="529" spans="1:3">
      <c r="A529">
        <f t="shared" si="17"/>
        <v>0.526</v>
      </c>
      <c r="B529">
        <v>22.2497263330825</v>
      </c>
      <c r="C529">
        <v>0.752320224101799</v>
      </c>
    </row>
    <row r="530" spans="1:3">
      <c r="A530">
        <f t="shared" si="17"/>
        <v>0.527</v>
      </c>
      <c r="B530">
        <v>22.251146224037</v>
      </c>
      <c r="C530">
        <v>0.752288017276388</v>
      </c>
    </row>
    <row r="531" spans="1:3">
      <c r="A531">
        <f t="shared" si="17"/>
        <v>0.528</v>
      </c>
      <c r="B531">
        <v>22.2526833016136</v>
      </c>
      <c r="C531">
        <v>0.752247788300553</v>
      </c>
    </row>
    <row r="532" spans="1:3">
      <c r="A532">
        <f t="shared" si="17"/>
        <v>0.529</v>
      </c>
      <c r="B532">
        <v>22.2543403010784</v>
      </c>
      <c r="C532">
        <v>0.752199884475211</v>
      </c>
    </row>
    <row r="533" spans="1:3">
      <c r="A533">
        <f t="shared" si="17"/>
        <v>0.53</v>
      </c>
      <c r="B533">
        <v>22.2561200321799</v>
      </c>
      <c r="C533">
        <v>0.75214464247614</v>
      </c>
    </row>
    <row r="534" spans="1:3">
      <c r="A534">
        <f t="shared" si="17"/>
        <v>0.531</v>
      </c>
      <c r="B534">
        <v>22.2580253791512</v>
      </c>
      <c r="C534">
        <v>0.752082388487457</v>
      </c>
    </row>
    <row r="535" spans="1:3">
      <c r="A535">
        <f t="shared" si="17"/>
        <v>0.532</v>
      </c>
      <c r="B535">
        <v>22.2600593007075</v>
      </c>
      <c r="C535">
        <v>0.752013438337197</v>
      </c>
    </row>
    <row r="536" spans="1:3">
      <c r="A536">
        <f t="shared" si="17"/>
        <v>0.533</v>
      </c>
      <c r="B536">
        <v>22.2622248300483</v>
      </c>
      <c r="C536">
        <v>0.751938097630242</v>
      </c>
    </row>
    <row r="537" spans="1:3">
      <c r="A537">
        <f t="shared" si="17"/>
        <v>0.534</v>
      </c>
      <c r="B537">
        <v>22.2645250748568</v>
      </c>
      <c r="C537">
        <v>0.751856661880878</v>
      </c>
    </row>
    <row r="538" spans="1:3">
      <c r="A538">
        <f t="shared" si="17"/>
        <v>0.535</v>
      </c>
      <c r="B538">
        <v>22.2669632172988</v>
      </c>
      <c r="C538">
        <v>0.751769416646904</v>
      </c>
    </row>
    <row r="539" spans="1:3">
      <c r="A539">
        <f t="shared" si="17"/>
        <v>0.536</v>
      </c>
      <c r="B539">
        <v>22.2695425140245</v>
      </c>
      <c r="C539">
        <v>0.751676637659074</v>
      </c>
    </row>
    <row r="540" spans="1:3">
      <c r="A540">
        <f t="shared" si="17"/>
        <v>0.537</v>
      </c>
      <c r="B540">
        <v>22.2722662961669</v>
      </c>
      <c r="C540">
        <v>0.751578590954492</v>
      </c>
    </row>
    <row r="541" spans="1:3">
      <c r="A541">
        <f t="shared" si="17"/>
        <v>0.538</v>
      </c>
      <c r="B541">
        <v>22.2751379693429</v>
      </c>
      <c r="C541">
        <v>0.751475533004837</v>
      </c>
    </row>
    <row r="542" spans="1:3">
      <c r="A542">
        <f t="shared" si="17"/>
        <v>0.539</v>
      </c>
      <c r="B542">
        <v>22.2781610136529</v>
      </c>
      <c r="C542">
        <v>0.75136771084788</v>
      </c>
    </row>
    <row r="543" spans="1:3">
      <c r="A543">
        <f t="shared" si="17"/>
        <v>0.54</v>
      </c>
      <c r="B543">
        <v>22.2813389836801</v>
      </c>
      <c r="C543">
        <v>0.751255362215961</v>
      </c>
    </row>
    <row r="544" spans="1:3">
      <c r="A544">
        <f t="shared" si="17"/>
        <v>0.541</v>
      </c>
      <c r="B544">
        <v>22.2846755084919</v>
      </c>
      <c r="C544">
        <v>0.751138715663835</v>
      </c>
    </row>
    <row r="545" spans="1:3">
      <c r="A545">
        <f t="shared" si="17"/>
        <v>0.542</v>
      </c>
      <c r="B545">
        <v>22.2881742916389</v>
      </c>
      <c r="C545">
        <v>0.75101799069756</v>
      </c>
    </row>
    <row r="546" spans="1:3">
      <c r="A546">
        <f t="shared" si="17"/>
        <v>0.543</v>
      </c>
      <c r="B546">
        <v>22.291839111155</v>
      </c>
      <c r="C546">
        <v>0.750893397900663</v>
      </c>
    </row>
    <row r="547" spans="1:3">
      <c r="A547">
        <f t="shared" si="17"/>
        <v>0.544</v>
      </c>
      <c r="B547">
        <v>22.2956738195579</v>
      </c>
      <c r="C547">
        <v>0.750765139061133</v>
      </c>
    </row>
    <row r="548" spans="1:3">
      <c r="A548">
        <f t="shared" si="17"/>
        <v>0.545</v>
      </c>
      <c r="B548">
        <v>22.2996823438489</v>
      </c>
      <c r="C548">
        <v>0.750633407296835</v>
      </c>
    </row>
    <row r="549" spans="1:3">
      <c r="A549">
        <f t="shared" si="17"/>
        <v>0.546</v>
      </c>
      <c r="B549">
        <v>22.303868685512</v>
      </c>
      <c r="C549">
        <v>0.75049838718156</v>
      </c>
    </row>
    <row r="550" spans="1:3">
      <c r="A550">
        <f t="shared" si="17"/>
        <v>0.547</v>
      </c>
      <c r="B550">
        <v>22.3082369205155</v>
      </c>
      <c r="C550">
        <v>0.750360254868478</v>
      </c>
    </row>
    <row r="551" spans="1:3">
      <c r="A551">
        <f t="shared" si="17"/>
        <v>0.548</v>
      </c>
      <c r="B551">
        <v>22.3127911993108</v>
      </c>
      <c r="C551">
        <v>0.750219178214449</v>
      </c>
    </row>
    <row r="552" spans="1:3">
      <c r="A552">
        <f t="shared" si="17"/>
        <v>0.549</v>
      </c>
      <c r="B552">
        <v>22.317535746833</v>
      </c>
      <c r="C552">
        <v>0.750075316903187</v>
      </c>
    </row>
    <row r="553" spans="1:3">
      <c r="A553">
        <f t="shared" si="17"/>
        <v>0.55</v>
      </c>
      <c r="B553">
        <v>22.3224748625001</v>
      </c>
      <c r="C553">
        <v>0.749928822568082</v>
      </c>
    </row>
    <row r="554" spans="1:3">
      <c r="A554">
        <f t="shared" si="17"/>
        <v>0.551</v>
      </c>
      <c r="B554">
        <v>22.327612920214</v>
      </c>
      <c r="C554">
        <v>0.749779838913431</v>
      </c>
    </row>
    <row r="555" spans="1:3">
      <c r="A555">
        <f t="shared" si="17"/>
        <v>0.552</v>
      </c>
      <c r="B555">
        <v>22.3329543683605</v>
      </c>
      <c r="C555">
        <v>0.749628501836028</v>
      </c>
    </row>
    <row r="556" spans="1:3">
      <c r="A556">
        <f t="shared" si="17"/>
        <v>0.553</v>
      </c>
      <c r="B556">
        <v>22.3385037298081</v>
      </c>
      <c r="C556">
        <v>0.749474939545881</v>
      </c>
    </row>
    <row r="557" spans="1:3">
      <c r="A557">
        <f t="shared" si="17"/>
        <v>0.554</v>
      </c>
      <c r="B557">
        <v>22.3442656019088</v>
      </c>
      <c r="C557">
        <v>0.749319272686294</v>
      </c>
    </row>
    <row r="558" spans="1:3">
      <c r="A558">
        <f t="shared" si="17"/>
        <v>0.555</v>
      </c>
      <c r="B558">
        <v>22.3502446564988</v>
      </c>
      <c r="C558">
        <v>0.749161614451881</v>
      </c>
    </row>
    <row r="559" spans="1:3">
      <c r="A559">
        <f t="shared" si="17"/>
        <v>0.556</v>
      </c>
      <c r="B559">
        <v>22.3564456398971</v>
      </c>
      <c r="C559">
        <v>0.749002070708758</v>
      </c>
    </row>
    <row r="560" spans="1:3">
      <c r="A560">
        <f t="shared" si="17"/>
        <v>0.557</v>
      </c>
      <c r="B560">
        <v>22.3628733729067</v>
      </c>
      <c r="C560">
        <v>0.748840740111404</v>
      </c>
    </row>
    <row r="561" spans="1:3">
      <c r="A561">
        <f t="shared" si="17"/>
        <v>0.558</v>
      </c>
      <c r="B561">
        <v>22.3695327508131</v>
      </c>
      <c r="C561">
        <v>0.748677714220971</v>
      </c>
    </row>
    <row r="562" spans="1:3">
      <c r="A562">
        <f t="shared" si="17"/>
        <v>0.559</v>
      </c>
      <c r="B562">
        <v>22.3764287433867</v>
      </c>
      <c r="C562">
        <v>0.748513077620114</v>
      </c>
    </row>
    <row r="563" spans="1:3">
      <c r="A563">
        <f t="shared" si="17"/>
        <v>0.56</v>
      </c>
      <c r="B563">
        <v>22.3835663948801</v>
      </c>
      <c r="C563">
        <v>0.74834690803096</v>
      </c>
    </row>
    <row r="564" spans="1:3">
      <c r="A564">
        <f t="shared" si="17"/>
        <v>0.561</v>
      </c>
      <c r="B564">
        <v>22.3909508240299</v>
      </c>
      <c r="C564">
        <v>0.748179276429617</v>
      </c>
    </row>
    <row r="565" spans="1:3">
      <c r="A565">
        <f t="shared" si="17"/>
        <v>0.562</v>
      </c>
      <c r="B565">
        <v>22.3985872240567</v>
      </c>
      <c r="C565">
        <v>0.7480102471597</v>
      </c>
    </row>
    <row r="566" spans="1:3">
      <c r="A566">
        <f t="shared" si="17"/>
        <v>0.563</v>
      </c>
      <c r="B566">
        <v>22.4064808626634</v>
      </c>
      <c r="C566">
        <v>0.747839878048679</v>
      </c>
    </row>
    <row r="567" spans="1:3">
      <c r="A567">
        <f t="shared" si="17"/>
        <v>0.564</v>
      </c>
      <c r="B567">
        <v>22.4146370820372</v>
      </c>
      <c r="C567">
        <v>0.747668220519178</v>
      </c>
    </row>
    <row r="568" spans="1:3">
      <c r="A568">
        <f t="shared" si="17"/>
        <v>0.565</v>
      </c>
      <c r="B568">
        <v>22.4230612988488</v>
      </c>
      <c r="C568">
        <v>0.747495319702368</v>
      </c>
    </row>
    <row r="569" spans="1:3">
      <c r="A569">
        <f t="shared" si="17"/>
        <v>0.566</v>
      </c>
      <c r="B569">
        <v>22.4317590042517</v>
      </c>
      <c r="C569">
        <v>0.747321214550436</v>
      </c>
    </row>
    <row r="570" spans="1:3">
      <c r="A570">
        <f t="shared" si="17"/>
        <v>0.567</v>
      </c>
      <c r="B570">
        <v>22.4407357638839</v>
      </c>
      <c r="C570">
        <v>0.747145937946927</v>
      </c>
    </row>
    <row r="571" spans="1:3">
      <c r="A571">
        <f t="shared" si="17"/>
        <v>0.568</v>
      </c>
      <c r="B571">
        <v>22.4499972178659</v>
      </c>
      <c r="C571">
        <v>0.746969516818618</v>
      </c>
    </row>
    <row r="572" spans="1:3">
      <c r="A572">
        <f t="shared" si="17"/>
        <v>0.569</v>
      </c>
      <c r="B572">
        <v>22.459549080802</v>
      </c>
      <c r="C572">
        <v>0.746791972244919</v>
      </c>
    </row>
    <row r="573" spans="1:3">
      <c r="A573">
        <f t="shared" si="17"/>
        <v>0.57</v>
      </c>
      <c r="B573">
        <v>22.4693971417801</v>
      </c>
      <c r="C573">
        <v>0.746613319567141</v>
      </c>
    </row>
    <row r="574" spans="1:3">
      <c r="A574">
        <f t="shared" si="17"/>
        <v>0.571</v>
      </c>
      <c r="B574">
        <v>22.4795472643716</v>
      </c>
      <c r="C574">
        <v>0.746433568497434</v>
      </c>
    </row>
    <row r="575" spans="1:3">
      <c r="A575">
        <f t="shared" si="17"/>
        <v>0.572</v>
      </c>
      <c r="B575">
        <v>22.4900053866314</v>
      </c>
      <c r="C575">
        <v>0.746252723226875</v>
      </c>
    </row>
    <row r="576" spans="1:3">
      <c r="A576">
        <f t="shared" si="17"/>
        <v>0.573</v>
      </c>
      <c r="B576">
        <v>22.5007775210974</v>
      </c>
      <c r="C576">
        <v>0.746070782533463</v>
      </c>
    </row>
    <row r="577" spans="1:3">
      <c r="A577">
        <f t="shared" si="17"/>
        <v>0.574</v>
      </c>
      <c r="B577">
        <v>22.5118697547913</v>
      </c>
      <c r="C577">
        <v>0.745887739887823</v>
      </c>
    </row>
    <row r="578" spans="1:3">
      <c r="A578">
        <f t="shared" si="17"/>
        <v>0.575</v>
      </c>
      <c r="B578">
        <v>22.5232882492188</v>
      </c>
      <c r="C578">
        <v>0.74570358355961</v>
      </c>
    </row>
    <row r="579" spans="1:3">
      <c r="A579">
        <f t="shared" si="17"/>
        <v>0.576</v>
      </c>
      <c r="B579">
        <v>22.5350392403682</v>
      </c>
      <c r="C579">
        <v>0.74551829672367</v>
      </c>
    </row>
    <row r="580" spans="1:3">
      <c r="A580">
        <f t="shared" si="17"/>
        <v>0.577</v>
      </c>
      <c r="B580">
        <v>22.5471290387118</v>
      </c>
      <c r="C580">
        <v>0.745331857564158</v>
      </c>
    </row>
    <row r="581" spans="1:3">
      <c r="A581">
        <f t="shared" ref="A581:A644" si="18">A580+0.001</f>
        <v>0.578</v>
      </c>
      <c r="B581">
        <v>22.559564029205</v>
      </c>
      <c r="C581">
        <v>0.745144239378911</v>
      </c>
    </row>
    <row r="582" spans="1:3">
      <c r="A582">
        <f t="shared" si="18"/>
        <v>0.579</v>
      </c>
      <c r="B582">
        <v>22.5723506712867</v>
      </c>
      <c r="C582">
        <v>0.744955410683222</v>
      </c>
    </row>
    <row r="583" spans="1:3">
      <c r="A583">
        <f t="shared" si="18"/>
        <v>0.58</v>
      </c>
      <c r="B583">
        <v>22.5854954988802</v>
      </c>
      <c r="C583">
        <v>0.744765335311433</v>
      </c>
    </row>
    <row r="584" spans="1:3">
      <c r="A584">
        <f t="shared" si="18"/>
        <v>0.581</v>
      </c>
      <c r="B584">
        <v>22.5990051203906</v>
      </c>
      <c r="C584">
        <v>0.744573972521275</v>
      </c>
    </row>
    <row r="585" spans="1:3">
      <c r="A585">
        <f t="shared" si="18"/>
        <v>0.582</v>
      </c>
      <c r="B585">
        <v>22.6128862187081</v>
      </c>
      <c r="C585">
        <v>0.744381277092921</v>
      </c>
    </row>
    <row r="586" spans="1:3">
      <c r="A586">
        <f t="shared" si="18"/>
        <v>0.583</v>
      </c>
      <c r="B586">
        <v>22.6271455512057</v>
      </c>
      <c r="C586">
        <v>0.744187199431505</v>
      </c>
    </row>
    <row r="587" spans="1:3">
      <c r="A587">
        <f t="shared" si="18"/>
        <v>0.584</v>
      </c>
      <c r="B587">
        <v>22.641789949739</v>
      </c>
      <c r="C587">
        <v>0.743991685667781</v>
      </c>
    </row>
    <row r="588" spans="1:3">
      <c r="A588">
        <f t="shared" si="18"/>
        <v>0.585</v>
      </c>
      <c r="B588">
        <v>22.656826320649</v>
      </c>
      <c r="C588">
        <v>0.743794677754945</v>
      </c>
    </row>
    <row r="589" spans="1:3">
      <c r="A589">
        <f t="shared" si="18"/>
        <v>0.586</v>
      </c>
      <c r="B589">
        <v>22.672261644758</v>
      </c>
      <c r="C589">
        <v>0.743596113571371</v>
      </c>
    </row>
    <row r="590" spans="1:3">
      <c r="A590">
        <f t="shared" si="18"/>
        <v>0.587</v>
      </c>
      <c r="B590">
        <v>22.6881029773738</v>
      </c>
      <c r="C590">
        <v>0.743395927014754</v>
      </c>
    </row>
    <row r="591" spans="1:3">
      <c r="A591">
        <f t="shared" si="18"/>
        <v>0.588</v>
      </c>
      <c r="B591">
        <v>22.7043574482864</v>
      </c>
      <c r="C591">
        <v>0.743194048103257</v>
      </c>
    </row>
    <row r="592" spans="1:3">
      <c r="A592">
        <f t="shared" si="18"/>
        <v>0.589</v>
      </c>
      <c r="B592">
        <v>22.7210322617692</v>
      </c>
      <c r="C592">
        <v>0.742990403070647</v>
      </c>
    </row>
    <row r="593" spans="1:3">
      <c r="A593">
        <f t="shared" si="18"/>
        <v>0.59</v>
      </c>
      <c r="B593">
        <v>22.73813469658</v>
      </c>
      <c r="C593">
        <v>0.742784914462081</v>
      </c>
    </row>
    <row r="594" spans="1:3">
      <c r="A594">
        <f t="shared" si="18"/>
        <v>0.591</v>
      </c>
      <c r="B594">
        <v>22.7556721059595</v>
      </c>
      <c r="C594">
        <v>0.742577501231039</v>
      </c>
    </row>
    <row r="595" spans="1:3">
      <c r="A595">
        <f t="shared" si="18"/>
        <v>0.592</v>
      </c>
      <c r="B595">
        <v>22.7736519176316</v>
      </c>
      <c r="C595">
        <v>0.742368078833855</v>
      </c>
    </row>
    <row r="596" spans="1:3">
      <c r="A596">
        <f t="shared" si="18"/>
        <v>0.593</v>
      </c>
      <c r="B596">
        <v>22.7920816338042</v>
      </c>
      <c r="C596">
        <v>0.74215655932332</v>
      </c>
    </row>
    <row r="597" spans="1:3">
      <c r="A597">
        <f t="shared" si="18"/>
        <v>0.594</v>
      </c>
      <c r="B597">
        <v>22.8109688311683</v>
      </c>
      <c r="C597">
        <v>0.741942851443191</v>
      </c>
    </row>
    <row r="598" spans="1:3">
      <c r="A598">
        <f t="shared" si="18"/>
        <v>0.595</v>
      </c>
      <c r="B598">
        <v>22.8303211608987</v>
      </c>
      <c r="C598">
        <v>0.741726860720711</v>
      </c>
    </row>
    <row r="599" spans="1:3">
      <c r="A599">
        <f t="shared" si="18"/>
        <v>0.596</v>
      </c>
      <c r="B599">
        <v>22.8501463486535</v>
      </c>
      <c r="C599">
        <v>0.741508489558588</v>
      </c>
    </row>
    <row r="600" spans="1:3">
      <c r="A600">
        <f t="shared" si="18"/>
        <v>0.597</v>
      </c>
      <c r="B600">
        <v>22.8704521945742</v>
      </c>
      <c r="C600">
        <v>0.741287637327828</v>
      </c>
    </row>
    <row r="601" spans="1:3">
      <c r="A601">
        <f t="shared" si="18"/>
        <v>0.598</v>
      </c>
      <c r="B601">
        <v>22.8912465732859</v>
      </c>
      <c r="C601">
        <v>0.741064200457592</v>
      </c>
    </row>
    <row r="602" spans="1:3">
      <c r="A602">
        <f t="shared" si="18"/>
        <v>0.599</v>
      </c>
      <c r="B602">
        <v>22.9125374338973</v>
      </c>
      <c r="C602">
        <v>0.740838072525717</v>
      </c>
    </row>
    <row r="603" spans="1:3">
      <c r="A603">
        <f t="shared" si="18"/>
        <v>0.6</v>
      </c>
      <c r="B603">
        <v>22.9343327999999</v>
      </c>
      <c r="C603">
        <v>0.740609144349467</v>
      </c>
    </row>
    <row r="604" spans="1:3">
      <c r="A604">
        <f t="shared" si="18"/>
        <v>0.601</v>
      </c>
      <c r="B604">
        <v>22.9566407696697</v>
      </c>
      <c r="C604">
        <v>0.740377304072597</v>
      </c>
    </row>
    <row r="605" spans="1:3">
      <c r="A605">
        <f t="shared" si="18"/>
        <v>0.602</v>
      </c>
      <c r="B605">
        <v>22.9794695154652</v>
      </c>
      <c r="C605">
        <v>0.740142437255904</v>
      </c>
    </row>
    <row r="606" spans="1:3">
      <c r="A606">
        <f t="shared" si="18"/>
        <v>0.603</v>
      </c>
      <c r="B606">
        <v>23.0028272844291</v>
      </c>
      <c r="C606">
        <v>0.739904426963571</v>
      </c>
    </row>
    <row r="607" spans="1:3">
      <c r="A607">
        <f t="shared" si="18"/>
        <v>0.604</v>
      </c>
      <c r="B607">
        <v>23.0267223980873</v>
      </c>
      <c r="C607">
        <v>0.739663153850129</v>
      </c>
    </row>
    <row r="608" spans="1:3">
      <c r="A608">
        <f t="shared" si="18"/>
        <v>0.605</v>
      </c>
      <c r="B608">
        <v>23.0511632524487</v>
      </c>
      <c r="C608">
        <v>0.739418496248237</v>
      </c>
    </row>
    <row r="609" spans="1:3">
      <c r="A609">
        <f t="shared" si="18"/>
        <v>0.606</v>
      </c>
      <c r="B609">
        <v>23.0761583180066</v>
      </c>
      <c r="C609">
        <v>0.739170330252813</v>
      </c>
    </row>
    <row r="610" spans="1:3">
      <c r="A610">
        <f t="shared" si="18"/>
        <v>0.607</v>
      </c>
      <c r="B610">
        <v>23.1017161397374</v>
      </c>
      <c r="C610">
        <v>0.738918529806589</v>
      </c>
    </row>
    <row r="611" spans="1:3">
      <c r="A611">
        <f t="shared" si="18"/>
        <v>0.608</v>
      </c>
      <c r="B611">
        <v>23.1278453371005</v>
      </c>
      <c r="C611">
        <v>0.738662966785671</v>
      </c>
    </row>
    <row r="612" spans="1:3">
      <c r="A612">
        <f t="shared" si="18"/>
        <v>0.609</v>
      </c>
      <c r="B612">
        <v>23.154554604039</v>
      </c>
      <c r="C612">
        <v>0.738403511082244</v>
      </c>
    </row>
    <row r="613" spans="1:3">
      <c r="A613">
        <f t="shared" si="18"/>
        <v>0.61</v>
      </c>
      <c r="B613">
        <v>23.1818527089801</v>
      </c>
      <c r="C613">
        <v>0.738140030687202</v>
      </c>
    </row>
    <row r="614" spans="1:3">
      <c r="A614">
        <f t="shared" si="18"/>
        <v>0.611</v>
      </c>
      <c r="B614">
        <v>23.2097484948336</v>
      </c>
      <c r="C614">
        <v>0.737872391774041</v>
      </c>
    </row>
    <row r="615" spans="1:3">
      <c r="A615">
        <f t="shared" si="18"/>
        <v>0.612</v>
      </c>
      <c r="B615">
        <v>23.2382508789936</v>
      </c>
      <c r="C615">
        <v>0.737600458779307</v>
      </c>
    </row>
    <row r="616" spans="1:3">
      <c r="A616">
        <f t="shared" si="18"/>
        <v>0.613</v>
      </c>
      <c r="B616">
        <v>23.2673688533367</v>
      </c>
      <c r="C616">
        <v>0.737324094485185</v>
      </c>
    </row>
    <row r="617" spans="1:3">
      <c r="A617">
        <f t="shared" si="18"/>
        <v>0.614</v>
      </c>
      <c r="B617">
        <v>23.2971114842237</v>
      </c>
      <c r="C617">
        <v>0.737043160098556</v>
      </c>
    </row>
    <row r="618" spans="1:3">
      <c r="A618">
        <f t="shared" si="18"/>
        <v>0.615</v>
      </c>
      <c r="B618">
        <v>23.3274879124987</v>
      </c>
      <c r="C618">
        <v>0.736757515331703</v>
      </c>
    </row>
    <row r="619" spans="1:3">
      <c r="A619">
        <f t="shared" si="18"/>
        <v>0.616</v>
      </c>
      <c r="B619">
        <v>23.3585073534893</v>
      </c>
      <c r="C619">
        <v>0.736467018481016</v>
      </c>
    </row>
    <row r="620" spans="1:3">
      <c r="A620">
        <f t="shared" si="18"/>
        <v>0.617</v>
      </c>
      <c r="B620">
        <v>23.3901790970068</v>
      </c>
      <c r="C620">
        <v>0.736171526505967</v>
      </c>
    </row>
    <row r="621" spans="1:3">
      <c r="A621">
        <f t="shared" si="18"/>
        <v>0.618</v>
      </c>
      <c r="B621">
        <v>23.422512507345</v>
      </c>
      <c r="C621">
        <v>0.735870895107142</v>
      </c>
    </row>
    <row r="622" spans="1:3">
      <c r="A622">
        <f t="shared" si="18"/>
        <v>0.619</v>
      </c>
      <c r="B622">
        <v>23.4555170232822</v>
      </c>
      <c r="C622">
        <v>0.735564978802365</v>
      </c>
    </row>
    <row r="623" spans="1:3">
      <c r="A623">
        <f t="shared" si="18"/>
        <v>0.62</v>
      </c>
      <c r="B623">
        <v>23.48920215808</v>
      </c>
      <c r="C623">
        <v>0.735253631004523</v>
      </c>
    </row>
    <row r="624" spans="1:3">
      <c r="A624">
        <f t="shared" si="18"/>
        <v>0.621</v>
      </c>
      <c r="B624">
        <v>23.5235774994833</v>
      </c>
      <c r="C624">
        <v>0.734936704096464</v>
      </c>
    </row>
    <row r="625" spans="1:3">
      <c r="A625">
        <f t="shared" si="18"/>
        <v>0.622</v>
      </c>
      <c r="B625">
        <v>23.5586527097201</v>
      </c>
      <c r="C625">
        <v>0.734614049507399</v>
      </c>
    </row>
    <row r="626" spans="1:3">
      <c r="A626">
        <f t="shared" si="18"/>
        <v>0.623</v>
      </c>
      <c r="B626">
        <v>23.5944375255025</v>
      </c>
      <c r="C626">
        <v>0.734285517785967</v>
      </c>
    </row>
    <row r="627" spans="1:3">
      <c r="A627">
        <f t="shared" si="18"/>
        <v>0.624</v>
      </c>
      <c r="B627">
        <v>23.6309417580258</v>
      </c>
      <c r="C627">
        <v>0.733950958675683</v>
      </c>
    </row>
    <row r="628" spans="1:3">
      <c r="A628">
        <f t="shared" si="18"/>
        <v>0.625</v>
      </c>
      <c r="B628">
        <v>23.6681752929688</v>
      </c>
      <c r="C628">
        <v>0.733610221186795</v>
      </c>
    </row>
    <row r="629" spans="1:3">
      <c r="A629">
        <f t="shared" si="18"/>
        <v>0.626</v>
      </c>
      <c r="B629">
        <v>23.7061480904938</v>
      </c>
      <c r="C629">
        <v>0.733263153670484</v>
      </c>
    </row>
    <row r="630" spans="1:3">
      <c r="A630">
        <f t="shared" si="18"/>
        <v>0.627</v>
      </c>
      <c r="B630">
        <v>23.7448701852465</v>
      </c>
      <c r="C630">
        <v>0.732909603888851</v>
      </c>
    </row>
    <row r="631" spans="1:3">
      <c r="A631">
        <f t="shared" si="18"/>
        <v>0.628</v>
      </c>
      <c r="B631">
        <v>23.784351686356</v>
      </c>
      <c r="C631">
        <v>0.732549419088547</v>
      </c>
    </row>
    <row r="632" spans="1:3">
      <c r="A632">
        <f t="shared" si="18"/>
        <v>0.629</v>
      </c>
      <c r="B632">
        <v>23.8246027774352</v>
      </c>
      <c r="C632">
        <v>0.732182446069197</v>
      </c>
    </row>
    <row r="633" spans="1:3">
      <c r="A633">
        <f t="shared" si="18"/>
        <v>0.63</v>
      </c>
      <c r="B633">
        <v>23.8656337165803</v>
      </c>
      <c r="C633">
        <v>0.731808531254634</v>
      </c>
    </row>
    <row r="634" spans="1:3">
      <c r="A634">
        <f t="shared" si="18"/>
        <v>0.631</v>
      </c>
      <c r="B634">
        <v>23.9074548363702</v>
      </c>
      <c r="C634">
        <v>0.731427520762815</v>
      </c>
    </row>
    <row r="635" spans="1:3">
      <c r="A635">
        <f t="shared" si="18"/>
        <v>0.632</v>
      </c>
      <c r="B635">
        <v>23.9500765438688</v>
      </c>
      <c r="C635">
        <v>0.731039260472464</v>
      </c>
    </row>
    <row r="636" spans="1:3">
      <c r="A636">
        <f t="shared" si="18"/>
        <v>0.633</v>
      </c>
      <c r="B636">
        <v>23.9935093206228</v>
      </c>
      <c r="C636">
        <v>0.730643596092043</v>
      </c>
    </row>
    <row r="637" spans="1:3">
      <c r="A637">
        <f t="shared" si="18"/>
        <v>0.634</v>
      </c>
      <c r="B637">
        <v>24.0377637226615</v>
      </c>
      <c r="C637">
        <v>0.730240373229196</v>
      </c>
    </row>
    <row r="638" spans="1:3">
      <c r="A638">
        <f t="shared" si="18"/>
        <v>0.635</v>
      </c>
      <c r="B638">
        <v>24.0828503804988</v>
      </c>
      <c r="C638">
        <v>0.729829437453784</v>
      </c>
    </row>
    <row r="639" spans="1:3">
      <c r="A639">
        <f t="shared" si="18"/>
        <v>0.636</v>
      </c>
      <c r="B639">
        <v>24.1287799991317</v>
      </c>
      <c r="C639">
        <v>0.729410634366854</v>
      </c>
    </row>
    <row r="640" spans="1:3">
      <c r="A640">
        <f t="shared" si="18"/>
        <v>0.637</v>
      </c>
      <c r="B640">
        <v>24.1755633580407</v>
      </c>
      <c r="C640">
        <v>0.728983809664027</v>
      </c>
    </row>
    <row r="641" spans="1:3">
      <c r="A641">
        <f t="shared" si="18"/>
        <v>0.638</v>
      </c>
      <c r="B641">
        <v>24.2232113111895</v>
      </c>
      <c r="C641">
        <v>0.728548809201903</v>
      </c>
    </row>
    <row r="642" spans="1:3">
      <c r="A642">
        <f t="shared" si="18"/>
        <v>0.639</v>
      </c>
      <c r="B642">
        <v>24.2717347870256</v>
      </c>
      <c r="C642">
        <v>0.728105479061274</v>
      </c>
    </row>
    <row r="643" spans="1:3">
      <c r="A643">
        <f t="shared" si="18"/>
        <v>0.64</v>
      </c>
      <c r="B643">
        <v>24.3211447884801</v>
      </c>
      <c r="C643">
        <v>0.727653665609701</v>
      </c>
    </row>
    <row r="644" spans="1:3">
      <c r="A644">
        <f t="shared" si="18"/>
        <v>0.641</v>
      </c>
      <c r="B644">
        <v>24.371452392967</v>
      </c>
      <c r="C644">
        <v>0.727193215566878</v>
      </c>
    </row>
    <row r="645" spans="1:3">
      <c r="A645">
        <f t="shared" ref="A645:A708" si="19">A644+0.001</f>
        <v>0.642</v>
      </c>
      <c r="B645">
        <v>24.4226687523845</v>
      </c>
      <c r="C645">
        <v>0.726723976063117</v>
      </c>
    </row>
    <row r="646" spans="1:3">
      <c r="A646">
        <f t="shared" si="19"/>
        <v>0.643</v>
      </c>
      <c r="B646">
        <v>24.4748050931134</v>
      </c>
      <c r="C646">
        <v>0.726245794704652</v>
      </c>
    </row>
    <row r="647" spans="1:3">
      <c r="A647">
        <f t="shared" si="19"/>
        <v>0.644</v>
      </c>
      <c r="B647">
        <v>24.5278727160189</v>
      </c>
      <c r="C647">
        <v>0.725758519631183</v>
      </c>
    </row>
    <row r="648" spans="1:3">
      <c r="A648">
        <f t="shared" si="19"/>
        <v>0.645</v>
      </c>
      <c r="B648">
        <v>24.5818829964487</v>
      </c>
      <c r="C648">
        <v>0.725261999578308</v>
      </c>
    </row>
    <row r="649" spans="1:3">
      <c r="A649">
        <f t="shared" si="19"/>
        <v>0.646</v>
      </c>
      <c r="B649">
        <v>24.6368473842351</v>
      </c>
      <c r="C649">
        <v>0.724756083934955</v>
      </c>
    </row>
    <row r="650" spans="1:3">
      <c r="A650">
        <f t="shared" si="19"/>
        <v>0.647</v>
      </c>
      <c r="B650">
        <v>24.6927774036933</v>
      </c>
      <c r="C650">
        <v>0.724240622803842</v>
      </c>
    </row>
    <row r="651" spans="1:3">
      <c r="A651">
        <f t="shared" si="19"/>
        <v>0.648</v>
      </c>
      <c r="B651">
        <v>24.7496846536215</v>
      </c>
      <c r="C651">
        <v>0.723715467059572</v>
      </c>
    </row>
    <row r="652" spans="1:3">
      <c r="A652">
        <f t="shared" si="19"/>
        <v>0.649</v>
      </c>
      <c r="B652">
        <v>24.8075808073018</v>
      </c>
      <c r="C652">
        <v>0.723180468405347</v>
      </c>
    </row>
    <row r="653" spans="1:3">
      <c r="A653">
        <f t="shared" si="19"/>
        <v>0.65</v>
      </c>
      <c r="B653">
        <v>24.8664776124999</v>
      </c>
      <c r="C653">
        <v>0.722635479430103</v>
      </c>
    </row>
    <row r="654" spans="1:3">
      <c r="A654">
        <f t="shared" si="19"/>
        <v>0.651</v>
      </c>
      <c r="B654">
        <v>24.9263868914653</v>
      </c>
      <c r="C654">
        <v>0.72208035366398</v>
      </c>
    </row>
    <row r="655" spans="1:3">
      <c r="A655">
        <f t="shared" si="19"/>
        <v>0.652</v>
      </c>
      <c r="B655">
        <v>24.9873205409302</v>
      </c>
      <c r="C655">
        <v>0.721514945635787</v>
      </c>
    </row>
    <row r="656" spans="1:3">
      <c r="A656">
        <f t="shared" si="19"/>
        <v>0.653</v>
      </c>
      <c r="B656">
        <v>25.0492905321103</v>
      </c>
      <c r="C656">
        <v>0.720939110926627</v>
      </c>
    </row>
    <row r="657" spans="1:3">
      <c r="A657">
        <f t="shared" si="19"/>
        <v>0.654</v>
      </c>
      <c r="B657">
        <v>25.1123089107056</v>
      </c>
      <c r="C657">
        <v>0.720352706223352</v>
      </c>
    </row>
    <row r="658" spans="1:3">
      <c r="A658">
        <f t="shared" si="19"/>
        <v>0.655</v>
      </c>
      <c r="B658">
        <v>25.1763877968987</v>
      </c>
      <c r="C658">
        <v>0.719755589373761</v>
      </c>
    </row>
    <row r="659" spans="1:3">
      <c r="A659">
        <f t="shared" si="19"/>
        <v>0.656</v>
      </c>
      <c r="B659">
        <v>25.2415393853563</v>
      </c>
      <c r="C659">
        <v>0.719147619438294</v>
      </c>
    </row>
    <row r="660" spans="1:3">
      <c r="A660">
        <f t="shared" si="19"/>
        <v>0.657</v>
      </c>
      <c r="B660">
        <v>25.307775945228</v>
      </c>
      <c r="C660">
        <v>0.718528656743331</v>
      </c>
    </row>
    <row r="661" spans="1:3">
      <c r="A661">
        <f t="shared" si="19"/>
        <v>0.658</v>
      </c>
      <c r="B661">
        <v>25.3751098201478</v>
      </c>
      <c r="C661">
        <v>0.717898562930718</v>
      </c>
    </row>
    <row r="662" spans="1:3">
      <c r="A662">
        <f t="shared" si="19"/>
        <v>0.659</v>
      </c>
      <c r="B662">
        <v>25.4435534282315</v>
      </c>
      <c r="C662">
        <v>0.717257201012681</v>
      </c>
    </row>
    <row r="663" spans="1:3">
      <c r="A663">
        <f t="shared" si="19"/>
        <v>0.66</v>
      </c>
      <c r="B663">
        <v>25.5131192620801</v>
      </c>
      <c r="C663">
        <v>0.716604435417314</v>
      </c>
    </row>
    <row r="664" spans="1:3">
      <c r="A664">
        <f t="shared" si="19"/>
        <v>0.661</v>
      </c>
      <c r="B664">
        <v>25.5838198887773</v>
      </c>
      <c r="C664">
        <v>0.715940132041465</v>
      </c>
    </row>
    <row r="665" spans="1:3">
      <c r="A665">
        <f t="shared" si="19"/>
        <v>0.662</v>
      </c>
      <c r="B665">
        <v>25.6556679498903</v>
      </c>
      <c r="C665">
        <v>0.715264158298625</v>
      </c>
    </row>
    <row r="666" spans="1:3">
      <c r="A666">
        <f t="shared" si="19"/>
        <v>0.663</v>
      </c>
      <c r="B666">
        <v>25.7286761614699</v>
      </c>
      <c r="C666">
        <v>0.714576383167423</v>
      </c>
    </row>
    <row r="667" spans="1:3">
      <c r="A667">
        <f t="shared" si="19"/>
        <v>0.664</v>
      </c>
      <c r="B667">
        <v>25.8028573140502</v>
      </c>
      <c r="C667">
        <v>0.713876677239027</v>
      </c>
    </row>
    <row r="668" spans="1:3">
      <c r="A668">
        <f t="shared" si="19"/>
        <v>0.665</v>
      </c>
      <c r="B668">
        <v>25.878224272649</v>
      </c>
      <c r="C668">
        <v>0.713164912764341</v>
      </c>
    </row>
    <row r="669" spans="1:3">
      <c r="A669">
        <f t="shared" si="19"/>
        <v>0.666</v>
      </c>
      <c r="B669">
        <v>25.9547899767671</v>
      </c>
      <c r="C669">
        <v>0.712440963700944</v>
      </c>
    </row>
    <row r="670" spans="1:3">
      <c r="A670">
        <f t="shared" si="19"/>
        <v>0.667</v>
      </c>
      <c r="B670">
        <v>26.0325674403896</v>
      </c>
      <c r="C670">
        <v>0.711704705756972</v>
      </c>
    </row>
    <row r="671" spans="1:3">
      <c r="A671">
        <f t="shared" si="19"/>
        <v>0.668</v>
      </c>
      <c r="B671">
        <v>26.1115697519841</v>
      </c>
      <c r="C671">
        <v>0.710956016438614</v>
      </c>
    </row>
    <row r="672" spans="1:3">
      <c r="A672">
        <f t="shared" si="19"/>
        <v>0.669</v>
      </c>
      <c r="B672">
        <v>26.1918100745027</v>
      </c>
      <c r="C672">
        <v>0.710194775092143</v>
      </c>
    </row>
    <row r="673" spans="1:3">
      <c r="A673">
        <f t="shared" si="19"/>
        <v>0.67</v>
      </c>
      <c r="B673">
        <v>26.2733016453799</v>
      </c>
      <c r="C673">
        <v>0.709420862949505</v>
      </c>
    </row>
    <row r="674" spans="1:3">
      <c r="A674">
        <f t="shared" si="19"/>
        <v>0.671</v>
      </c>
      <c r="B674">
        <v>26.3560577765349</v>
      </c>
      <c r="C674">
        <v>0.708634163169816</v>
      </c>
    </row>
    <row r="675" spans="1:3">
      <c r="A675">
        <f t="shared" si="19"/>
        <v>0.672</v>
      </c>
      <c r="B675">
        <v>26.4400918543688</v>
      </c>
      <c r="C675">
        <v>0.707834560883482</v>
      </c>
    </row>
    <row r="676" spans="1:3">
      <c r="A676">
        <f t="shared" si="19"/>
        <v>0.673</v>
      </c>
      <c r="B676">
        <v>26.5254173397677</v>
      </c>
      <c r="C676">
        <v>0.707021943232183</v>
      </c>
    </row>
    <row r="677" spans="1:3">
      <c r="A677">
        <f t="shared" si="19"/>
        <v>0.674</v>
      </c>
      <c r="B677">
        <v>26.6120477681004</v>
      </c>
      <c r="C677">
        <v>0.70619619941088</v>
      </c>
    </row>
    <row r="678" spans="1:3">
      <c r="A678">
        <f t="shared" si="19"/>
        <v>0.675</v>
      </c>
      <c r="B678">
        <v>26.6999967492189</v>
      </c>
      <c r="C678">
        <v>0.705357220708578</v>
      </c>
    </row>
    <row r="679" spans="1:3">
      <c r="A679">
        <f t="shared" si="19"/>
        <v>0.676</v>
      </c>
      <c r="B679">
        <v>26.7892779674593</v>
      </c>
      <c r="C679">
        <v>0.704504900547196</v>
      </c>
    </row>
    <row r="680" spans="1:3">
      <c r="A680">
        <f t="shared" si="19"/>
        <v>0.677</v>
      </c>
      <c r="B680">
        <v>26.8799051816414</v>
      </c>
      <c r="C680">
        <v>0.703639134520762</v>
      </c>
    </row>
    <row r="681" spans="1:3">
      <c r="A681">
        <f t="shared" si="19"/>
        <v>0.678</v>
      </c>
      <c r="B681">
        <v>26.9718922250672</v>
      </c>
      <c r="C681">
        <v>0.702759820435672</v>
      </c>
    </row>
    <row r="682" spans="1:3">
      <c r="A682">
        <f t="shared" si="19"/>
        <v>0.679</v>
      </c>
      <c r="B682">
        <v>27.0652530055235</v>
      </c>
      <c r="C682">
        <v>0.701866858345662</v>
      </c>
    </row>
    <row r="683" spans="1:3">
      <c r="A683">
        <f t="shared" si="19"/>
        <v>0.68</v>
      </c>
      <c r="B683">
        <v>27.1600015052799</v>
      </c>
      <c r="C683">
        <v>0.700960150590689</v>
      </c>
    </row>
    <row r="684" spans="1:3">
      <c r="A684">
        <f t="shared" si="19"/>
        <v>0.681</v>
      </c>
      <c r="B684">
        <v>27.2561517810897</v>
      </c>
      <c r="C684">
        <v>0.700039601833241</v>
      </c>
    </row>
    <row r="685" spans="1:3">
      <c r="A685">
        <f t="shared" si="19"/>
        <v>0.682</v>
      </c>
      <c r="B685">
        <v>27.3537179641897</v>
      </c>
      <c r="C685">
        <v>0.699105119094135</v>
      </c>
    </row>
    <row r="686" spans="1:3">
      <c r="A686">
        <f t="shared" si="19"/>
        <v>0.683</v>
      </c>
      <c r="B686">
        <v>27.4527142602998</v>
      </c>
      <c r="C686">
        <v>0.698156611787365</v>
      </c>
    </row>
    <row r="687" spans="1:3">
      <c r="A687">
        <f t="shared" si="19"/>
        <v>0.684</v>
      </c>
      <c r="B687">
        <v>27.553154949624</v>
      </c>
      <c r="C687">
        <v>0.69719399175474</v>
      </c>
    </row>
    <row r="688" spans="1:3">
      <c r="A688">
        <f t="shared" si="19"/>
        <v>0.685</v>
      </c>
      <c r="B688">
        <v>27.6550543868489</v>
      </c>
      <c r="C688">
        <v>0.696217173300759</v>
      </c>
    </row>
    <row r="689" spans="1:3">
      <c r="A689">
        <f t="shared" si="19"/>
        <v>0.686</v>
      </c>
      <c r="B689">
        <v>27.7584270011453</v>
      </c>
      <c r="C689">
        <v>0.695226073223614</v>
      </c>
    </row>
    <row r="690" spans="1:3">
      <c r="A690">
        <f t="shared" si="19"/>
        <v>0.687</v>
      </c>
      <c r="B690">
        <v>27.8632872961677</v>
      </c>
      <c r="C690">
        <v>0.694220610849162</v>
      </c>
    </row>
    <row r="691" spans="1:3">
      <c r="A691">
        <f t="shared" si="19"/>
        <v>0.688</v>
      </c>
      <c r="B691">
        <v>27.9696498500528</v>
      </c>
      <c r="C691">
        <v>0.693200708064054</v>
      </c>
    </row>
    <row r="692" spans="1:3">
      <c r="A692">
        <f t="shared" si="19"/>
        <v>0.689000000000001</v>
      </c>
      <c r="B692">
        <v>28.077529315422</v>
      </c>
      <c r="C692">
        <v>0.692166289344117</v>
      </c>
    </row>
    <row r="693" spans="1:3">
      <c r="A693">
        <f t="shared" si="19"/>
        <v>0.690000000000001</v>
      </c>
      <c r="B693">
        <v>28.1869404193801</v>
      </c>
      <c r="C693">
        <v>0.691117281786634</v>
      </c>
    </row>
    <row r="694" spans="1:3">
      <c r="A694">
        <f t="shared" si="19"/>
        <v>0.691000000000001</v>
      </c>
      <c r="B694">
        <v>28.2978979635149</v>
      </c>
      <c r="C694">
        <v>0.690053615140388</v>
      </c>
    </row>
    <row r="695" spans="1:3">
      <c r="A695">
        <f t="shared" si="19"/>
        <v>0.692000000000001</v>
      </c>
      <c r="B695">
        <v>28.4104168238971</v>
      </c>
      <c r="C695">
        <v>0.68897522183523</v>
      </c>
    </row>
    <row r="696" spans="1:3">
      <c r="A696">
        <f t="shared" si="19"/>
        <v>0.693000000000001</v>
      </c>
      <c r="B696">
        <v>28.5245119510827</v>
      </c>
      <c r="C696">
        <v>0.687882037008567</v>
      </c>
    </row>
    <row r="697" spans="1:3">
      <c r="A697">
        <f t="shared" si="19"/>
        <v>0.694000000000001</v>
      </c>
      <c r="B697">
        <v>28.6401983701093</v>
      </c>
      <c r="C697">
        <v>0.686773998535801</v>
      </c>
    </row>
    <row r="698" spans="1:3">
      <c r="A698">
        <f t="shared" si="19"/>
        <v>0.695000000000001</v>
      </c>
      <c r="B698">
        <v>28.757491180499</v>
      </c>
      <c r="C698">
        <v>0.685651047056358</v>
      </c>
    </row>
    <row r="699" spans="1:3">
      <c r="A699">
        <f t="shared" si="19"/>
        <v>0.696000000000001</v>
      </c>
      <c r="B699">
        <v>28.8764055562567</v>
      </c>
      <c r="C699">
        <v>0.684513126001014</v>
      </c>
    </row>
    <row r="700" spans="1:3">
      <c r="A700">
        <f t="shared" si="19"/>
        <v>0.697000000000001</v>
      </c>
      <c r="B700">
        <v>28.996956745872</v>
      </c>
      <c r="C700">
        <v>0.683360181615783</v>
      </c>
    </row>
    <row r="701" spans="1:3">
      <c r="A701">
        <f t="shared" si="19"/>
        <v>0.698000000000001</v>
      </c>
      <c r="B701">
        <v>29.1191600723167</v>
      </c>
      <c r="C701">
        <v>0.682192162991018</v>
      </c>
    </row>
    <row r="702" spans="1:3">
      <c r="A702">
        <f t="shared" si="19"/>
        <v>0.699000000000001</v>
      </c>
      <c r="B702">
        <v>29.2430309330462</v>
      </c>
      <c r="C702">
        <v>0.68100902208306</v>
      </c>
    </row>
    <row r="703" spans="1:3">
      <c r="A703">
        <f t="shared" si="19"/>
        <v>0.700000000000001</v>
      </c>
      <c r="B703">
        <v>29.3685848000002</v>
      </c>
      <c r="C703">
        <v>0.679810713738738</v>
      </c>
    </row>
    <row r="704" spans="1:3">
      <c r="A704">
        <f t="shared" si="19"/>
        <v>0.701000000000001</v>
      </c>
      <c r="B704">
        <v>29.495837219601</v>
      </c>
      <c r="C704">
        <v>0.678597195719781</v>
      </c>
    </row>
    <row r="705" spans="1:3">
      <c r="A705">
        <f t="shared" si="19"/>
        <v>0.702000000000001</v>
      </c>
      <c r="B705">
        <v>29.624803812755</v>
      </c>
      <c r="C705">
        <v>0.677368428724367</v>
      </c>
    </row>
    <row r="706" spans="1:3">
      <c r="A706">
        <f t="shared" si="19"/>
        <v>0.703000000000001</v>
      </c>
      <c r="B706">
        <v>29.7555002748516</v>
      </c>
      <c r="C706">
        <v>0.676124376409938</v>
      </c>
    </row>
    <row r="707" spans="1:3">
      <c r="A707">
        <f t="shared" si="19"/>
        <v>0.704000000000001</v>
      </c>
      <c r="B707">
        <v>29.887942375764</v>
      </c>
      <c r="C707">
        <v>0.674865005414293</v>
      </c>
    </row>
    <row r="708" spans="1:3">
      <c r="A708">
        <f t="shared" si="19"/>
        <v>0.705000000000001</v>
      </c>
      <c r="B708">
        <v>30.022145959849</v>
      </c>
      <c r="C708">
        <v>0.673590285376001</v>
      </c>
    </row>
    <row r="709" spans="1:3">
      <c r="A709">
        <f t="shared" ref="A709:A772" si="20">A708+0.001</f>
        <v>0.706000000000001</v>
      </c>
      <c r="B709">
        <v>30.1581269459461</v>
      </c>
      <c r="C709">
        <v>0.67230018895546</v>
      </c>
    </row>
    <row r="710" spans="1:3">
      <c r="A710">
        <f t="shared" si="20"/>
        <v>0.707000000000001</v>
      </c>
      <c r="B710">
        <v>30.2959013273788</v>
      </c>
      <c r="C710">
        <v>0.670994691853228</v>
      </c>
    </row>
    <row r="711" spans="1:3">
      <c r="A711">
        <f t="shared" si="20"/>
        <v>0.708000000000001</v>
      </c>
      <c r="B711">
        <v>30.4354851719546</v>
      </c>
      <c r="C711">
        <v>0.669673772828845</v>
      </c>
    </row>
    <row r="712" spans="1:3">
      <c r="A712">
        <f t="shared" si="20"/>
        <v>0.709000000000001</v>
      </c>
      <c r="B712">
        <v>30.5768946219636</v>
      </c>
      <c r="C712">
        <v>0.668337413719862</v>
      </c>
    </row>
    <row r="713" spans="1:3">
      <c r="A713">
        <f t="shared" si="20"/>
        <v>0.710000000000001</v>
      </c>
      <c r="B713">
        <v>30.7201458941802</v>
      </c>
      <c r="C713">
        <v>0.666985599457765</v>
      </c>
    </row>
    <row r="714" spans="1:3">
      <c r="A714">
        <f t="shared" si="20"/>
        <v>0.711000000000001</v>
      </c>
      <c r="B714">
        <v>30.8652552798611</v>
      </c>
      <c r="C714">
        <v>0.665618318087257</v>
      </c>
    </row>
    <row r="715" spans="1:3">
      <c r="A715">
        <f t="shared" si="20"/>
        <v>0.712000000000001</v>
      </c>
      <c r="B715">
        <v>31.0122391447469</v>
      </c>
      <c r="C715">
        <v>0.66423556078042</v>
      </c>
    </row>
    <row r="716" spans="1:3">
      <c r="A716">
        <f t="shared" si="20"/>
        <v>0.713000000000001</v>
      </c>
      <c r="B716">
        <v>31.1611139290632</v>
      </c>
      <c r="C716">
        <v>0.662837321850496</v>
      </c>
    </row>
    <row r="717" spans="1:3">
      <c r="A717">
        <f t="shared" si="20"/>
        <v>0.714000000000001</v>
      </c>
      <c r="B717">
        <v>31.3118961475163</v>
      </c>
      <c r="C717">
        <v>0.661423598772155</v>
      </c>
    </row>
    <row r="718" spans="1:3">
      <c r="A718">
        <f t="shared" si="20"/>
        <v>0.715000000000001</v>
      </c>
      <c r="B718">
        <v>31.4646023892989</v>
      </c>
      <c r="C718">
        <v>0.659994392189123</v>
      </c>
    </row>
    <row r="719" spans="1:3">
      <c r="A719">
        <f t="shared" si="20"/>
        <v>0.716000000000001</v>
      </c>
      <c r="B719">
        <v>31.6192493180849</v>
      </c>
      <c r="C719">
        <v>0.65854970593316</v>
      </c>
    </row>
    <row r="720" spans="1:3">
      <c r="A720">
        <f t="shared" si="20"/>
        <v>0.717000000000001</v>
      </c>
      <c r="B720">
        <v>31.7758536720324</v>
      </c>
      <c r="C720">
        <v>0.657089547033939</v>
      </c>
    </row>
    <row r="721" spans="1:3">
      <c r="A721">
        <f t="shared" si="20"/>
        <v>0.718000000000001</v>
      </c>
      <c r="B721">
        <v>31.9344322637836</v>
      </c>
      <c r="C721">
        <v>0.655613925730837</v>
      </c>
    </row>
    <row r="722" spans="1:3">
      <c r="A722">
        <f t="shared" si="20"/>
        <v>0.719000000000001</v>
      </c>
      <c r="B722">
        <v>32.0950019804633</v>
      </c>
      <c r="C722">
        <v>0.654122855487056</v>
      </c>
    </row>
    <row r="723" spans="1:3">
      <c r="A723">
        <f t="shared" si="20"/>
        <v>0.720000000000001</v>
      </c>
      <c r="B723">
        <v>32.2575797836803</v>
      </c>
      <c r="C723">
        <v>0.652616352998187</v>
      </c>
    </row>
    <row r="724" spans="1:3">
      <c r="A724">
        <f t="shared" si="20"/>
        <v>0.721000000000001</v>
      </c>
      <c r="B724">
        <v>32.4221827095266</v>
      </c>
      <c r="C724">
        <v>0.65109443820312</v>
      </c>
    </row>
    <row r="725" spans="1:3">
      <c r="A725">
        <f t="shared" si="20"/>
        <v>0.722000000000001</v>
      </c>
      <c r="B725">
        <v>32.5888278685778</v>
      </c>
      <c r="C725">
        <v>0.649557134294092</v>
      </c>
    </row>
    <row r="726" spans="1:3">
      <c r="A726">
        <f t="shared" si="20"/>
        <v>0.723000000000001</v>
      </c>
      <c r="B726">
        <v>32.7575324458929</v>
      </c>
      <c r="C726">
        <v>0.648004467725102</v>
      </c>
    </row>
    <row r="727" spans="1:3">
      <c r="A727">
        <f t="shared" si="20"/>
        <v>0.724000000000001</v>
      </c>
      <c r="B727">
        <v>32.9283137010148</v>
      </c>
      <c r="C727">
        <v>0.646436468219357</v>
      </c>
    </row>
    <row r="728" spans="1:3">
      <c r="A728">
        <f t="shared" si="20"/>
        <v>0.725000000000001</v>
      </c>
      <c r="B728">
        <v>33.1011889679691</v>
      </c>
      <c r="C728">
        <v>0.644853168779107</v>
      </c>
    </row>
    <row r="729" spans="1:3">
      <c r="A729">
        <f t="shared" si="20"/>
        <v>0.726000000000001</v>
      </c>
      <c r="B729">
        <v>33.2761756552652</v>
      </c>
      <c r="C729">
        <v>0.643254605690922</v>
      </c>
    </row>
    <row r="730" spans="1:3">
      <c r="A730">
        <f t="shared" si="20"/>
        <v>0.727000000000001</v>
      </c>
      <c r="B730">
        <v>33.4532912458962</v>
      </c>
      <c r="C730">
        <v>0.641640818531604</v>
      </c>
    </row>
    <row r="731" spans="1:3">
      <c r="A731">
        <f t="shared" si="20"/>
        <v>0.728000000000001</v>
      </c>
      <c r="B731">
        <v>33.6325532973384</v>
      </c>
      <c r="C731">
        <v>0.640011850174755</v>
      </c>
    </row>
    <row r="732" spans="1:3">
      <c r="A732">
        <f t="shared" si="20"/>
        <v>0.729000000000001</v>
      </c>
      <c r="B732">
        <v>33.8139794415522</v>
      </c>
      <c r="C732">
        <v>0.638367746794999</v>
      </c>
    </row>
    <row r="733" spans="1:3">
      <c r="A733">
        <f t="shared" si="20"/>
        <v>0.730000000000001</v>
      </c>
      <c r="B733">
        <v>33.9975873849805</v>
      </c>
      <c r="C733">
        <v>0.636708557873847</v>
      </c>
    </row>
    <row r="734" spans="1:3">
      <c r="A734">
        <f t="shared" si="20"/>
        <v>0.731000000000001</v>
      </c>
      <c r="B734">
        <v>34.1833949085494</v>
      </c>
      <c r="C734">
        <v>0.635034336202471</v>
      </c>
    </row>
    <row r="735" spans="1:3">
      <c r="A735">
        <f t="shared" si="20"/>
        <v>0.732000000000001</v>
      </c>
      <c r="B735">
        <v>34.3714198676707</v>
      </c>
      <c r="C735">
        <v>0.633345137881952</v>
      </c>
    </row>
    <row r="736" spans="1:3">
      <c r="A736">
        <f t="shared" si="20"/>
        <v>0.733000000000001</v>
      </c>
      <c r="B736">
        <v>34.5616801922373</v>
      </c>
      <c r="C736">
        <v>0.631641022330915</v>
      </c>
    </row>
    <row r="737" spans="1:3">
      <c r="A737">
        <f t="shared" si="20"/>
        <v>0.734000000000001</v>
      </c>
      <c r="B737">
        <v>34.7541938866263</v>
      </c>
      <c r="C737">
        <v>0.629922052283465</v>
      </c>
    </row>
    <row r="738" spans="1:3">
      <c r="A738">
        <f t="shared" si="20"/>
        <v>0.735000000000001</v>
      </c>
      <c r="B738">
        <v>34.9489790296992</v>
      </c>
      <c r="C738">
        <v>0.628188293789669</v>
      </c>
    </row>
    <row r="739" spans="1:3">
      <c r="A739">
        <f t="shared" si="20"/>
        <v>0.736000000000001</v>
      </c>
      <c r="B739">
        <v>35.1460537747991</v>
      </c>
      <c r="C739">
        <v>0.626439816220499</v>
      </c>
    </row>
    <row r="740" spans="1:3">
      <c r="A740">
        <f t="shared" si="20"/>
        <v>0.737000000000001</v>
      </c>
      <c r="B740">
        <v>35.3454363497543</v>
      </c>
      <c r="C740">
        <v>0.624676692261626</v>
      </c>
    </row>
    <row r="741" spans="1:3">
      <c r="A741">
        <f t="shared" si="20"/>
        <v>0.738000000000001</v>
      </c>
      <c r="B741">
        <v>35.5471450568758</v>
      </c>
      <c r="C741">
        <v>0.622898997916807</v>
      </c>
    </row>
    <row r="742" spans="1:3">
      <c r="A742">
        <f t="shared" si="20"/>
        <v>0.739000000000001</v>
      </c>
      <c r="B742">
        <v>35.7511982729588</v>
      </c>
      <c r="C742">
        <v>0.621106812503803</v>
      </c>
    </row>
    <row r="743" spans="1:3">
      <c r="A743">
        <f t="shared" si="20"/>
        <v>0.740000000000001</v>
      </c>
      <c r="B743">
        <v>35.9576144492803</v>
      </c>
      <c r="C743">
        <v>0.619300218654327</v>
      </c>
    </row>
    <row r="744" spans="1:3">
      <c r="A744">
        <f t="shared" si="20"/>
        <v>0.741000000000001</v>
      </c>
      <c r="B744">
        <v>36.1664121116024</v>
      </c>
      <c r="C744">
        <v>0.617479302309006</v>
      </c>
    </row>
    <row r="745" spans="1:3">
      <c r="A745">
        <f t="shared" si="20"/>
        <v>0.742000000000001</v>
      </c>
      <c r="B745">
        <v>36.3776098601702</v>
      </c>
      <c r="C745">
        <v>0.615644152714594</v>
      </c>
    </row>
    <row r="746" spans="1:3">
      <c r="A746">
        <f t="shared" si="20"/>
        <v>0.743000000000001</v>
      </c>
      <c r="B746">
        <v>36.5912263697117</v>
      </c>
      <c r="C746">
        <v>0.61379486242078</v>
      </c>
    </row>
    <row r="747" spans="1:3">
      <c r="A747">
        <f t="shared" si="20"/>
        <v>0.744000000000001</v>
      </c>
      <c r="B747">
        <v>36.8072803894398</v>
      </c>
      <c r="C747">
        <v>0.61193152727245</v>
      </c>
    </row>
    <row r="748" spans="1:3">
      <c r="A748">
        <f t="shared" si="20"/>
        <v>0.745000000000001</v>
      </c>
      <c r="B748">
        <v>37.0257907430488</v>
      </c>
      <c r="C748">
        <v>0.61005424640882</v>
      </c>
    </row>
    <row r="749" spans="1:3">
      <c r="A749">
        <f t="shared" si="20"/>
        <v>0.746000000000001</v>
      </c>
      <c r="B749">
        <v>37.2467763287183</v>
      </c>
      <c r="C749">
        <v>0.608163122251987</v>
      </c>
    </row>
    <row r="750" spans="1:3">
      <c r="A750">
        <f t="shared" si="20"/>
        <v>0.747000000000001</v>
      </c>
      <c r="B750">
        <v>37.4702561191113</v>
      </c>
      <c r="C750">
        <v>0.606258260502679</v>
      </c>
    </row>
    <row r="751" spans="1:3">
      <c r="A751">
        <f t="shared" si="20"/>
        <v>0.748000000000001</v>
      </c>
      <c r="B751">
        <v>37.6962491613717</v>
      </c>
      <c r="C751">
        <v>0.604339770135582</v>
      </c>
    </row>
    <row r="752" spans="1:3">
      <c r="A752">
        <f t="shared" si="20"/>
        <v>0.749000000000001</v>
      </c>
      <c r="B752">
        <v>37.9247745771307</v>
      </c>
      <c r="C752">
        <v>0.602407763383902</v>
      </c>
    </row>
    <row r="753" spans="1:3">
      <c r="A753">
        <f t="shared" si="20"/>
        <v>0.750000000000001</v>
      </c>
      <c r="B753">
        <v>38.1558515625005</v>
      </c>
      <c r="C753">
        <v>0.600462355737379</v>
      </c>
    </row>
    <row r="754" spans="1:3">
      <c r="A754">
        <f t="shared" si="20"/>
        <v>0.751000000000001</v>
      </c>
      <c r="B754">
        <v>38.3894993880767</v>
      </c>
      <c r="C754">
        <v>0.598503665930433</v>
      </c>
    </row>
    <row r="755" spans="1:3">
      <c r="A755">
        <f t="shared" si="20"/>
        <v>0.752000000000001</v>
      </c>
      <c r="B755">
        <v>38.6257373989396</v>
      </c>
      <c r="C755">
        <v>0.596531815930236</v>
      </c>
    </row>
    <row r="756" spans="1:3">
      <c r="A756">
        <f t="shared" si="20"/>
        <v>0.753000000000001</v>
      </c>
      <c r="B756">
        <v>38.8645850146533</v>
      </c>
      <c r="C756">
        <v>0.594546930927945</v>
      </c>
    </row>
    <row r="757" spans="1:3">
      <c r="A757">
        <f t="shared" si="20"/>
        <v>0.754000000000001</v>
      </c>
      <c r="B757">
        <v>39.1060617292623</v>
      </c>
      <c r="C757">
        <v>0.592549139328874</v>
      </c>
    </row>
    <row r="758" spans="1:3">
      <c r="A758">
        <f t="shared" si="20"/>
        <v>0.755000000000001</v>
      </c>
      <c r="B758">
        <v>39.350187111299</v>
      </c>
      <c r="C758">
        <v>0.590538572735125</v>
      </c>
    </row>
    <row r="759" spans="1:3">
      <c r="A759">
        <f t="shared" si="20"/>
        <v>0.756000000000001</v>
      </c>
      <c r="B759">
        <v>39.5969808037757</v>
      </c>
      <c r="C759">
        <v>0.588515365937725</v>
      </c>
    </row>
    <row r="760" spans="1:3">
      <c r="A760">
        <f t="shared" si="20"/>
        <v>0.757000000000001</v>
      </c>
      <c r="B760">
        <v>39.8464625241899</v>
      </c>
      <c r="C760">
        <v>0.586479656901457</v>
      </c>
    </row>
    <row r="761" spans="1:3">
      <c r="A761">
        <f t="shared" si="20"/>
        <v>0.758000000000001</v>
      </c>
      <c r="B761">
        <v>40.0986520645222</v>
      </c>
      <c r="C761">
        <v>0.584431586750141</v>
      </c>
    </row>
    <row r="762" spans="1:3">
      <c r="A762">
        <f t="shared" si="20"/>
        <v>0.759000000000001</v>
      </c>
      <c r="B762">
        <v>40.3535692912362</v>
      </c>
      <c r="C762">
        <v>0.582371299753621</v>
      </c>
    </row>
    <row r="763" spans="1:3">
      <c r="A763">
        <f t="shared" si="20"/>
        <v>0.760000000000001</v>
      </c>
      <c r="B763">
        <v>40.6112341452804</v>
      </c>
      <c r="C763">
        <v>0.580298943309493</v>
      </c>
    </row>
    <row r="764" spans="1:3">
      <c r="A764">
        <f t="shared" si="20"/>
        <v>0.761000000000001</v>
      </c>
      <c r="B764">
        <v>40.8716666420846</v>
      </c>
      <c r="C764">
        <v>0.578214667930665</v>
      </c>
    </row>
    <row r="765" spans="1:3">
      <c r="A765">
        <f t="shared" si="20"/>
        <v>0.762000000000001</v>
      </c>
      <c r="B765">
        <v>41.134886871564</v>
      </c>
      <c r="C765">
        <v>0.576118627225745</v>
      </c>
    </row>
    <row r="766" spans="1:3">
      <c r="A766">
        <f t="shared" si="20"/>
        <v>0.763000000000001</v>
      </c>
      <c r="B766">
        <v>41.4009149981162</v>
      </c>
      <c r="C766">
        <v>0.574010977883046</v>
      </c>
    </row>
    <row r="767" spans="1:3">
      <c r="A767">
        <f t="shared" si="20"/>
        <v>0.764000000000001</v>
      </c>
      <c r="B767">
        <v>41.6697712606233</v>
      </c>
      <c r="C767">
        <v>0.571891879651485</v>
      </c>
    </row>
    <row r="768" spans="1:3">
      <c r="A768">
        <f t="shared" si="20"/>
        <v>0.765000000000001</v>
      </c>
      <c r="B768">
        <v>41.9414759724492</v>
      </c>
      <c r="C768">
        <v>0.569761495324747</v>
      </c>
    </row>
    <row r="769" spans="1:3">
      <c r="A769">
        <f t="shared" si="20"/>
        <v>0.766000000000001</v>
      </c>
      <c r="B769">
        <v>42.2160495214424</v>
      </c>
      <c r="C769">
        <v>0.567619990717838</v>
      </c>
    </row>
    <row r="770" spans="1:3">
      <c r="A770">
        <f t="shared" si="20"/>
        <v>0.767000000000001</v>
      </c>
      <c r="B770">
        <v>42.4935123699352</v>
      </c>
      <c r="C770">
        <v>0.565467534649473</v>
      </c>
    </row>
    <row r="771" spans="1:3">
      <c r="A771">
        <f t="shared" si="20"/>
        <v>0.768000000000001</v>
      </c>
      <c r="B771">
        <v>42.7738850547429</v>
      </c>
      <c r="C771">
        <v>0.563304298921539</v>
      </c>
    </row>
    <row r="772" spans="1:3">
      <c r="A772">
        <f t="shared" si="20"/>
        <v>0.769000000000001</v>
      </c>
      <c r="B772">
        <v>43.0571881871638</v>
      </c>
      <c r="C772">
        <v>0.561130458297285</v>
      </c>
    </row>
    <row r="773" spans="1:3">
      <c r="A773">
        <f t="shared" ref="A773:A836" si="21">A772+0.001</f>
        <v>0.770000000000001</v>
      </c>
      <c r="B773">
        <v>43.3434424529803</v>
      </c>
      <c r="C773">
        <v>0.558946190478967</v>
      </c>
    </row>
    <row r="774" spans="1:3">
      <c r="A774">
        <f t="shared" si="21"/>
        <v>0.771000000000001</v>
      </c>
      <c r="B774">
        <v>43.6326686124581</v>
      </c>
      <c r="C774">
        <v>0.556751676086421</v>
      </c>
    </row>
    <row r="775" spans="1:3">
      <c r="A775">
        <f t="shared" si="21"/>
        <v>0.772000000000001</v>
      </c>
      <c r="B775">
        <v>43.9248875003465</v>
      </c>
      <c r="C775">
        <v>0.554547098631407</v>
      </c>
    </row>
    <row r="776" spans="1:3">
      <c r="A776">
        <f t="shared" si="21"/>
        <v>0.773000000000001</v>
      </c>
      <c r="B776">
        <v>44.2201200258781</v>
      </c>
      <c r="C776">
        <v>0.55233264449717</v>
      </c>
    </row>
    <row r="777" spans="1:3">
      <c r="A777">
        <f t="shared" si="21"/>
        <v>0.774000000000001</v>
      </c>
      <c r="B777">
        <v>44.5183871727694</v>
      </c>
      <c r="C777">
        <v>0.550108502910541</v>
      </c>
    </row>
    <row r="778" spans="1:3">
      <c r="A778">
        <f t="shared" si="21"/>
        <v>0.775000000000001</v>
      </c>
      <c r="B778">
        <v>44.8197099992187</v>
      </c>
      <c r="C778">
        <v>0.547874865919306</v>
      </c>
    </row>
    <row r="779" spans="1:3">
      <c r="A779">
        <f t="shared" si="21"/>
        <v>0.776000000000001</v>
      </c>
      <c r="B779">
        <v>45.1241096379108</v>
      </c>
      <c r="C779">
        <v>0.545631928363635</v>
      </c>
    </row>
    <row r="780" spans="1:3">
      <c r="A780">
        <f t="shared" si="21"/>
        <v>0.777000000000001</v>
      </c>
      <c r="B780">
        <v>45.4316072960108</v>
      </c>
      <c r="C780">
        <v>0.543379887852095</v>
      </c>
    </row>
    <row r="781" spans="1:3">
      <c r="A781">
        <f t="shared" si="21"/>
        <v>0.778000000000001</v>
      </c>
      <c r="B781">
        <v>45.7422242551699</v>
      </c>
      <c r="C781">
        <v>0.541118944732383</v>
      </c>
    </row>
    <row r="782" spans="1:3">
      <c r="A782">
        <f t="shared" si="21"/>
        <v>0.779000000000001</v>
      </c>
      <c r="B782">
        <v>46.0559818715203</v>
      </c>
      <c r="C782">
        <v>0.538849302065754</v>
      </c>
    </row>
    <row r="783" spans="1:3">
      <c r="A783">
        <f t="shared" si="21"/>
        <v>0.780000000000001</v>
      </c>
      <c r="B783">
        <v>46.3729015756804</v>
      </c>
      <c r="C783">
        <v>0.536571165594914</v>
      </c>
    </row>
    <row r="784" spans="1:3">
      <c r="A784">
        <f t="shared" si="21"/>
        <v>0.781000000000001</v>
      </c>
      <c r="B784">
        <v>46.693004872749</v>
      </c>
      <c r="C784">
        <v>0.534284743719759</v>
      </c>
    </row>
    <row r="785" spans="1:3">
      <c r="A785">
        <f t="shared" si="21"/>
        <v>0.782000000000001</v>
      </c>
      <c r="B785">
        <v>47.0163133423118</v>
      </c>
      <c r="C785">
        <v>0.531990247461753</v>
      </c>
    </row>
    <row r="786" spans="1:3">
      <c r="A786">
        <f t="shared" si="21"/>
        <v>0.783000000000001</v>
      </c>
      <c r="B786">
        <v>47.3428486384343</v>
      </c>
      <c r="C786">
        <v>0.529687890439271</v>
      </c>
    </row>
    <row r="787" spans="1:3">
      <c r="A787">
        <f t="shared" si="21"/>
        <v>0.784000000000001</v>
      </c>
      <c r="B787">
        <v>47.6726324896686</v>
      </c>
      <c r="C787">
        <v>0.527377888831457</v>
      </c>
    </row>
    <row r="788" spans="1:3">
      <c r="A788">
        <f t="shared" si="21"/>
        <v>0.785000000000001</v>
      </c>
      <c r="B788">
        <v>48.005686699049</v>
      </c>
      <c r="C788">
        <v>0.525060461349382</v>
      </c>
    </row>
    <row r="789" spans="1:3">
      <c r="A789">
        <f t="shared" si="21"/>
        <v>0.786000000000001</v>
      </c>
      <c r="B789">
        <v>48.3420331440926</v>
      </c>
      <c r="C789">
        <v>0.522735829202996</v>
      </c>
    </row>
    <row r="790" spans="1:3">
      <c r="A790">
        <f t="shared" si="21"/>
        <v>0.787000000000001</v>
      </c>
      <c r="B790">
        <v>48.6816937768012</v>
      </c>
      <c r="C790">
        <v>0.520404216067154</v>
      </c>
    </row>
    <row r="791" spans="1:3">
      <c r="A791">
        <f t="shared" si="21"/>
        <v>0.788000000000001</v>
      </c>
      <c r="B791">
        <v>49.0246906236595</v>
      </c>
      <c r="C791">
        <v>0.51806584804883</v>
      </c>
    </row>
    <row r="792" spans="1:3">
      <c r="A792">
        <f t="shared" si="21"/>
        <v>0.789000000000001</v>
      </c>
      <c r="B792">
        <v>49.3710457856347</v>
      </c>
      <c r="C792">
        <v>0.515720953652723</v>
      </c>
    </row>
    <row r="793" spans="1:3">
      <c r="A793">
        <f t="shared" si="21"/>
        <v>0.790000000000001</v>
      </c>
      <c r="B793">
        <v>49.7207814381804</v>
      </c>
      <c r="C793">
        <v>0.513369763743914</v>
      </c>
    </row>
    <row r="794" spans="1:3">
      <c r="A794">
        <f t="shared" si="21"/>
        <v>0.791000000000001</v>
      </c>
      <c r="B794">
        <v>50.0739198312301</v>
      </c>
      <c r="C794">
        <v>0.511012511515534</v>
      </c>
    </row>
    <row r="795" spans="1:3">
      <c r="A795">
        <f t="shared" si="21"/>
        <v>0.792000000000001</v>
      </c>
      <c r="B795">
        <v>50.4304832892031</v>
      </c>
      <c r="C795">
        <v>0.508649432450283</v>
      </c>
    </row>
    <row r="796" spans="1:3">
      <c r="A796">
        <f t="shared" si="21"/>
        <v>0.793000000000001</v>
      </c>
      <c r="B796">
        <v>50.7904942110015</v>
      </c>
      <c r="C796">
        <v>0.506280764283623</v>
      </c>
    </row>
    <row r="797" spans="1:3">
      <c r="A797">
        <f t="shared" si="21"/>
        <v>0.794000000000001</v>
      </c>
      <c r="B797">
        <v>51.1539750700107</v>
      </c>
      <c r="C797">
        <v>0.503906746965811</v>
      </c>
    </row>
    <row r="798" spans="1:3">
      <c r="A798">
        <f t="shared" si="21"/>
        <v>0.795000000000001</v>
      </c>
      <c r="B798">
        <v>51.5209484140991</v>
      </c>
      <c r="C798">
        <v>0.501527622625416</v>
      </c>
    </row>
    <row r="799" spans="1:3">
      <c r="A799">
        <f t="shared" si="21"/>
        <v>0.796000000000001</v>
      </c>
      <c r="B799">
        <v>51.8914368656204</v>
      </c>
      <c r="C799">
        <v>0.499143635525848</v>
      </c>
    </row>
    <row r="800" spans="1:3">
      <c r="A800">
        <f t="shared" si="21"/>
        <v>0.797000000000001</v>
      </c>
      <c r="B800">
        <v>52.2654631214094</v>
      </c>
      <c r="C800">
        <v>0.496755032031963</v>
      </c>
    </row>
    <row r="801" spans="1:3">
      <c r="A801">
        <f t="shared" si="21"/>
        <v>0.798000000000001</v>
      </c>
      <c r="B801">
        <v>52.6430499527873</v>
      </c>
      <c r="C801">
        <v>0.494362060562438</v>
      </c>
    </row>
    <row r="802" spans="1:3">
      <c r="A802">
        <f t="shared" si="21"/>
        <v>0.799000000000001</v>
      </c>
      <c r="B802">
        <v>53.0242202055551</v>
      </c>
      <c r="C802">
        <v>0.491964971556996</v>
      </c>
    </row>
    <row r="803" spans="1:3">
      <c r="A803">
        <f t="shared" si="21"/>
        <v>0.800000000000001</v>
      </c>
      <c r="B803">
        <v>53.4089968000008</v>
      </c>
      <c r="C803">
        <v>0.489564017426157</v>
      </c>
    </row>
    <row r="804" spans="1:3">
      <c r="A804">
        <f t="shared" si="21"/>
        <v>0.801000000000001</v>
      </c>
      <c r="B804">
        <v>53.7974027308922</v>
      </c>
      <c r="C804">
        <v>0.487159452517019</v>
      </c>
    </row>
    <row r="805" spans="1:3">
      <c r="A805">
        <f t="shared" si="21"/>
        <v>0.802000000000001</v>
      </c>
      <c r="B805">
        <v>54.1894610674851</v>
      </c>
      <c r="C805">
        <v>0.484751533062428</v>
      </c>
    </row>
    <row r="806" spans="1:3">
      <c r="A806">
        <f t="shared" si="21"/>
        <v>0.803000000000001</v>
      </c>
      <c r="B806">
        <v>54.5851949535142</v>
      </c>
      <c r="C806">
        <v>0.482340517144712</v>
      </c>
    </row>
    <row r="807" spans="1:3">
      <c r="A807">
        <f t="shared" si="21"/>
        <v>0.804000000000001</v>
      </c>
      <c r="B807">
        <v>54.9846276072009</v>
      </c>
      <c r="C807">
        <v>0.479926664645902</v>
      </c>
    </row>
    <row r="808" spans="1:3">
      <c r="A808">
        <f t="shared" si="21"/>
        <v>0.805000000000001</v>
      </c>
      <c r="B808">
        <v>55.3877823212493</v>
      </c>
      <c r="C808">
        <v>0.477510237204266</v>
      </c>
    </row>
    <row r="809" spans="1:3">
      <c r="A809">
        <f t="shared" si="21"/>
        <v>0.806000000000001</v>
      </c>
      <c r="B809">
        <v>55.7946824628458</v>
      </c>
      <c r="C809">
        <v>0.475091498171641</v>
      </c>
    </row>
    <row r="810" spans="1:3">
      <c r="A810">
        <f t="shared" si="21"/>
        <v>0.807000000000001</v>
      </c>
      <c r="B810">
        <v>56.205351473661</v>
      </c>
      <c r="C810">
        <v>0.472670712563315</v>
      </c>
    </row>
    <row r="811" spans="1:3">
      <c r="A811">
        <f t="shared" si="21"/>
        <v>0.808000000000001</v>
      </c>
      <c r="B811">
        <v>56.6198128698494</v>
      </c>
      <c r="C811">
        <v>0.470248147012084</v>
      </c>
    </row>
    <row r="812" spans="1:3">
      <c r="A812">
        <f t="shared" si="21"/>
        <v>0.809000000000001</v>
      </c>
      <c r="B812">
        <v>57.0380902420492</v>
      </c>
      <c r="C812">
        <v>0.467824069721065</v>
      </c>
    </row>
    <row r="813" spans="1:3">
      <c r="A813">
        <f t="shared" si="21"/>
        <v>0.810000000000001</v>
      </c>
      <c r="B813">
        <v>57.4602072553806</v>
      </c>
      <c r="C813">
        <v>0.465398750417556</v>
      </c>
    </row>
    <row r="814" spans="1:3">
      <c r="A814">
        <f t="shared" si="21"/>
        <v>0.811000000000001</v>
      </c>
      <c r="B814">
        <v>57.8861876494486</v>
      </c>
      <c r="C814">
        <v>0.462972460299489</v>
      </c>
    </row>
    <row r="815" spans="1:3">
      <c r="A815">
        <f t="shared" si="21"/>
        <v>0.812000000000001</v>
      </c>
      <c r="B815">
        <v>58.3160552383411</v>
      </c>
      <c r="C815">
        <v>0.460545471990294</v>
      </c>
    </row>
    <row r="816" spans="1:3">
      <c r="A816">
        <f t="shared" si="21"/>
        <v>0.813000000000001</v>
      </c>
      <c r="B816">
        <v>58.7498339106296</v>
      </c>
      <c r="C816">
        <v>0.458118059486174</v>
      </c>
    </row>
    <row r="817" spans="1:3">
      <c r="A817">
        <f t="shared" si="21"/>
        <v>0.814000000000001</v>
      </c>
      <c r="B817">
        <v>59.1875476293695</v>
      </c>
      <c r="C817">
        <v>0.455690498105281</v>
      </c>
    </row>
    <row r="818" spans="1:3">
      <c r="A818">
        <f t="shared" si="21"/>
        <v>0.815000000000001</v>
      </c>
      <c r="B818">
        <v>59.6292204320991</v>
      </c>
      <c r="C818">
        <v>0.453263064438426</v>
      </c>
    </row>
    <row r="819" spans="1:3">
      <c r="A819">
        <f t="shared" si="21"/>
        <v>0.816000000000001</v>
      </c>
      <c r="B819">
        <v>60.0748764308399</v>
      </c>
      <c r="C819">
        <v>0.450836036294093</v>
      </c>
    </row>
    <row r="820" spans="1:3">
      <c r="A820">
        <f t="shared" si="21"/>
        <v>0.817000000000001</v>
      </c>
      <c r="B820">
        <v>60.5245398120981</v>
      </c>
      <c r="C820">
        <v>0.448409692646799</v>
      </c>
    </row>
    <row r="821" spans="1:3">
      <c r="A821">
        <f t="shared" si="21"/>
        <v>0.818000000000001</v>
      </c>
      <c r="B821">
        <v>60.9782348368623</v>
      </c>
      <c r="C821">
        <v>0.445984313584697</v>
      </c>
    </row>
    <row r="822" spans="1:3">
      <c r="A822">
        <f t="shared" si="21"/>
        <v>0.819000000000001</v>
      </c>
      <c r="B822">
        <v>61.4359858406046</v>
      </c>
      <c r="C822">
        <v>0.443560180253512</v>
      </c>
    </row>
    <row r="823" spans="1:3">
      <c r="A823">
        <f t="shared" si="21"/>
        <v>0.820000000000001</v>
      </c>
      <c r="B823">
        <v>61.8978172332807</v>
      </c>
      <c r="C823">
        <v>0.4411375748028</v>
      </c>
    </row>
    <row r="824" spans="1:3">
      <c r="A824">
        <f t="shared" si="21"/>
        <v>0.821000000000001</v>
      </c>
      <c r="B824">
        <v>62.3637534993298</v>
      </c>
      <c r="C824">
        <v>0.438716780330948</v>
      </c>
    </row>
    <row r="825" spans="1:3">
      <c r="A825">
        <f t="shared" si="21"/>
        <v>0.822000000000001</v>
      </c>
      <c r="B825">
        <v>62.8338191976759</v>
      </c>
      <c r="C825">
        <v>0.436298080826014</v>
      </c>
    </row>
    <row r="826" spans="1:3">
      <c r="A826">
        <f t="shared" si="21"/>
        <v>0.823000000000001</v>
      </c>
      <c r="B826">
        <v>63.3080389617238</v>
      </c>
      <c r="C826">
        <v>0.433881761114521</v>
      </c>
    </row>
    <row r="827" spans="1:3">
      <c r="A827">
        <f t="shared" si="21"/>
        <v>0.824000000000001</v>
      </c>
      <c r="B827">
        <v>63.7864374993635</v>
      </c>
      <c r="C827">
        <v>0.431468106799106</v>
      </c>
    </row>
    <row r="828" spans="1:3">
      <c r="A828">
        <f t="shared" si="21"/>
        <v>0.825000000000001</v>
      </c>
      <c r="B828">
        <v>64.269039592969</v>
      </c>
      <c r="C828">
        <v>0.429057404201513</v>
      </c>
    </row>
    <row r="829" spans="1:3">
      <c r="A829">
        <f t="shared" si="21"/>
        <v>0.826000000000001</v>
      </c>
      <c r="B829">
        <v>64.7558700993962</v>
      </c>
      <c r="C829">
        <v>0.426649940305998</v>
      </c>
    </row>
    <row r="830" spans="1:3">
      <c r="A830">
        <f t="shared" si="21"/>
        <v>0.827000000000001</v>
      </c>
      <c r="B830">
        <v>65.2469539499861</v>
      </c>
      <c r="C830">
        <v>0.424246002696773</v>
      </c>
    </row>
    <row r="831" spans="1:3">
      <c r="A831">
        <f t="shared" si="21"/>
        <v>0.828000000000001</v>
      </c>
      <c r="B831">
        <v>65.7423161505614</v>
      </c>
      <c r="C831">
        <v>0.42184587950101</v>
      </c>
    </row>
    <row r="832" spans="1:3">
      <c r="A832">
        <f t="shared" si="21"/>
        <v>0.829000000000001</v>
      </c>
      <c r="B832">
        <v>66.241981781429</v>
      </c>
      <c r="C832">
        <v>0.419449859326371</v>
      </c>
    </row>
    <row r="833" spans="1:3">
      <c r="A833">
        <f t="shared" si="21"/>
        <v>0.830000000000001</v>
      </c>
      <c r="B833">
        <v>66.7459759973807</v>
      </c>
      <c r="C833">
        <v>0.417058231198857</v>
      </c>
    </row>
    <row r="834" spans="1:3">
      <c r="A834">
        <f t="shared" si="21"/>
        <v>0.831000000000001</v>
      </c>
      <c r="B834">
        <v>67.2543240276894</v>
      </c>
      <c r="C834">
        <v>0.414671284503299</v>
      </c>
    </row>
    <row r="835" spans="1:3">
      <c r="A835">
        <f t="shared" si="21"/>
        <v>0.832000000000001</v>
      </c>
      <c r="B835">
        <v>67.7670511761126</v>
      </c>
      <c r="C835">
        <v>0.412289308918682</v>
      </c>
    </row>
    <row r="836" spans="1:3">
      <c r="A836">
        <f t="shared" si="21"/>
        <v>0.833000000000001</v>
      </c>
      <c r="B836">
        <v>68.2841828208918</v>
      </c>
      <c r="C836">
        <v>0.409912594354922</v>
      </c>
    </row>
    <row r="837" spans="1:3">
      <c r="A837">
        <f t="shared" ref="A837:A900" si="22">A836+0.001</f>
        <v>0.834000000000001</v>
      </c>
      <c r="B837">
        <v>68.8057444147517</v>
      </c>
      <c r="C837">
        <v>0.407541430888529</v>
      </c>
    </row>
    <row r="838" spans="1:3">
      <c r="A838">
        <f t="shared" si="22"/>
        <v>0.835000000000001</v>
      </c>
      <c r="B838">
        <v>69.3317614848993</v>
      </c>
      <c r="C838">
        <v>0.40517610870129</v>
      </c>
    </row>
    <row r="839" spans="1:3">
      <c r="A839">
        <f t="shared" si="22"/>
        <v>0.836000000000001</v>
      </c>
      <c r="B839">
        <v>69.8622596330264</v>
      </c>
      <c r="C839">
        <v>0.402816918010314</v>
      </c>
    </row>
    <row r="840" spans="1:3">
      <c r="A840">
        <f t="shared" si="22"/>
        <v>0.837000000000001</v>
      </c>
      <c r="B840">
        <v>70.3972645353087</v>
      </c>
      <c r="C840">
        <v>0.400464149003562</v>
      </c>
    </row>
    <row r="841" spans="1:3">
      <c r="A841">
        <f t="shared" si="22"/>
        <v>0.838000000000001</v>
      </c>
      <c r="B841">
        <v>70.9368019424029</v>
      </c>
      <c r="C841">
        <v>0.398118091776126</v>
      </c>
    </row>
    <row r="842" spans="1:3">
      <c r="A842">
        <f t="shared" si="22"/>
        <v>0.839000000000001</v>
      </c>
      <c r="B842">
        <v>71.4808976794513</v>
      </c>
      <c r="C842">
        <v>0.395779036258965</v>
      </c>
    </row>
    <row r="843" spans="1:3">
      <c r="A843">
        <f t="shared" si="22"/>
        <v>0.840000000000001</v>
      </c>
      <c r="B843">
        <v>72.0295776460806</v>
      </c>
      <c r="C843">
        <v>0.393447272151543</v>
      </c>
    </row>
    <row r="844" spans="1:3">
      <c r="A844">
        <f t="shared" si="22"/>
        <v>0.841000000000001</v>
      </c>
      <c r="B844">
        <v>72.5828678163976</v>
      </c>
      <c r="C844">
        <v>0.391123088857058</v>
      </c>
    </row>
    <row r="845" spans="1:3">
      <c r="A845">
        <f t="shared" si="22"/>
        <v>0.842000000000001</v>
      </c>
      <c r="B845">
        <v>73.1407942389962</v>
      </c>
      <c r="C845">
        <v>0.38880677540688</v>
      </c>
    </row>
    <row r="846" spans="1:3">
      <c r="A846">
        <f t="shared" si="22"/>
        <v>0.843000000000001</v>
      </c>
      <c r="B846">
        <v>73.7033830369503</v>
      </c>
      <c r="C846">
        <v>0.386498620398866</v>
      </c>
    </row>
    <row r="847" spans="1:3">
      <c r="A847">
        <f t="shared" si="22"/>
        <v>0.844000000000001</v>
      </c>
      <c r="B847">
        <v>74.2706604078206</v>
      </c>
      <c r="C847">
        <v>0.384198911916649</v>
      </c>
    </row>
    <row r="848" spans="1:3">
      <c r="A848">
        <f t="shared" si="22"/>
        <v>0.845000000000001</v>
      </c>
      <c r="B848">
        <v>74.8426526236496</v>
      </c>
      <c r="C848">
        <v>0.381907937467152</v>
      </c>
    </row>
    <row r="849" spans="1:3">
      <c r="A849">
        <f t="shared" si="22"/>
        <v>0.846000000000001</v>
      </c>
      <c r="B849">
        <v>75.4193860309622</v>
      </c>
      <c r="C849">
        <v>0.379625983905445</v>
      </c>
    </row>
    <row r="850" spans="1:3">
      <c r="A850">
        <f t="shared" si="22"/>
        <v>0.847000000000001</v>
      </c>
      <c r="B850">
        <v>76.0008870507691</v>
      </c>
      <c r="C850">
        <v>0.377353337359877</v>
      </c>
    </row>
    <row r="851" spans="1:3">
      <c r="A851">
        <f t="shared" si="22"/>
        <v>0.848000000000001</v>
      </c>
      <c r="B851">
        <v>76.5871821785626</v>
      </c>
      <c r="C851">
        <v>0.375090283164167</v>
      </c>
    </row>
    <row r="852" spans="1:3">
      <c r="A852">
        <f t="shared" si="22"/>
        <v>0.849000000000001</v>
      </c>
      <c r="B852">
        <v>77.1782979843203</v>
      </c>
      <c r="C852">
        <v>0.372837105777099</v>
      </c>
    </row>
    <row r="853" spans="1:3">
      <c r="A853">
        <f t="shared" si="22"/>
        <v>0.850000000000001</v>
      </c>
      <c r="B853">
        <v>77.7742611125008</v>
      </c>
      <c r="C853">
        <v>0.370594088714813</v>
      </c>
    </row>
    <row r="854" spans="1:3">
      <c r="A854">
        <f t="shared" si="22"/>
        <v>0.851000000000001</v>
      </c>
      <c r="B854">
        <v>78.3750982820482</v>
      </c>
      <c r="C854">
        <v>0.368361514470034</v>
      </c>
    </row>
    <row r="855" spans="1:3">
      <c r="A855">
        <f t="shared" si="22"/>
        <v>0.852000000000001</v>
      </c>
      <c r="B855">
        <v>78.9808362863898</v>
      </c>
      <c r="C855">
        <v>0.366139664437929</v>
      </c>
    </row>
    <row r="856" spans="1:3">
      <c r="A856">
        <f t="shared" si="22"/>
        <v>0.853000000000001</v>
      </c>
      <c r="B856">
        <v>79.5915019934355</v>
      </c>
      <c r="C856">
        <v>0.36392881884241</v>
      </c>
    </row>
    <row r="857" spans="1:3">
      <c r="A857">
        <f t="shared" si="22"/>
        <v>0.854000000000001</v>
      </c>
      <c r="B857">
        <v>80.2071223455792</v>
      </c>
      <c r="C857">
        <v>0.361729256655618</v>
      </c>
    </row>
    <row r="858" spans="1:3">
      <c r="A858">
        <f t="shared" si="22"/>
        <v>0.855000000000001</v>
      </c>
      <c r="B858">
        <v>80.8277243596991</v>
      </c>
      <c r="C858">
        <v>0.359541255520045</v>
      </c>
    </row>
    <row r="859" spans="1:3">
      <c r="A859">
        <f t="shared" si="22"/>
        <v>0.856000000000001</v>
      </c>
      <c r="B859">
        <v>81.4533351271558</v>
      </c>
      <c r="C859">
        <v>0.357365091672184</v>
      </c>
    </row>
    <row r="860" spans="1:3">
      <c r="A860">
        <f t="shared" si="22"/>
        <v>0.857000000000001</v>
      </c>
      <c r="B860">
        <v>82.0839818137918</v>
      </c>
      <c r="C860">
        <v>0.355201039865058</v>
      </c>
    </row>
    <row r="861" spans="1:3">
      <c r="A861">
        <f t="shared" si="22"/>
        <v>0.858000000000001</v>
      </c>
      <c r="B861">
        <v>82.7196916599368</v>
      </c>
      <c r="C861">
        <v>0.353049373281596</v>
      </c>
    </row>
    <row r="862" spans="1:3">
      <c r="A862">
        <f t="shared" si="22"/>
        <v>0.859000000000001</v>
      </c>
      <c r="B862">
        <v>83.3604919804017</v>
      </c>
      <c r="C862">
        <v>0.350910363460279</v>
      </c>
    </row>
    <row r="863" spans="1:3">
      <c r="A863">
        <f t="shared" si="22"/>
        <v>0.860000000000001</v>
      </c>
      <c r="B863">
        <v>84.0064101644809</v>
      </c>
      <c r="C863">
        <v>0.348784280213272</v>
      </c>
    </row>
    <row r="864" spans="1:3">
      <c r="A864">
        <f t="shared" si="22"/>
        <v>0.861000000000001</v>
      </c>
      <c r="B864">
        <v>84.6574736759523</v>
      </c>
      <c r="C864">
        <v>0.346671391542701</v>
      </c>
    </row>
    <row r="865" spans="1:3">
      <c r="A865">
        <f t="shared" si="22"/>
        <v>0.862000000000001</v>
      </c>
      <c r="B865">
        <v>85.3137100530782</v>
      </c>
      <c r="C865">
        <v>0.344571963558893</v>
      </c>
    </row>
    <row r="866" spans="1:3">
      <c r="A866">
        <f t="shared" si="22"/>
        <v>0.863000000000001</v>
      </c>
      <c r="B866">
        <v>85.9751469086033</v>
      </c>
      <c r="C866">
        <v>0.342486260399441</v>
      </c>
    </row>
    <row r="867" spans="1:3">
      <c r="A867">
        <f t="shared" si="22"/>
        <v>0.864000000000001</v>
      </c>
      <c r="B867">
        <v>86.6418119297561</v>
      </c>
      <c r="C867">
        <v>0.340414544141761</v>
      </c>
    </row>
    <row r="868" spans="1:3">
      <c r="A868">
        <f t="shared" si="22"/>
        <v>0.865000000000001</v>
      </c>
      <c r="B868">
        <v>87.3137328782491</v>
      </c>
      <c r="C868">
        <v>0.338357074721071</v>
      </c>
    </row>
    <row r="869" spans="1:3">
      <c r="A869">
        <f t="shared" si="22"/>
        <v>0.866000000000001</v>
      </c>
      <c r="B869">
        <v>87.9909375902781</v>
      </c>
      <c r="C869">
        <v>0.336314109845583</v>
      </c>
    </row>
    <row r="870" spans="1:3">
      <c r="A870">
        <f t="shared" si="22"/>
        <v>0.867000000000001</v>
      </c>
      <c r="B870">
        <v>88.6734539765211</v>
      </c>
      <c r="C870">
        <v>0.334285904910776</v>
      </c>
    </row>
    <row r="871" spans="1:3">
      <c r="A871">
        <f t="shared" si="22"/>
        <v>0.868000000000001</v>
      </c>
      <c r="B871">
        <v>89.3613100221409</v>
      </c>
      <c r="C871">
        <v>0.332272712912188</v>
      </c>
    </row>
    <row r="872" spans="1:3">
      <c r="A872">
        <f t="shared" si="22"/>
        <v>0.869000000000001</v>
      </c>
      <c r="B872">
        <v>90.0545337867853</v>
      </c>
      <c r="C872">
        <v>0.330274784355669</v>
      </c>
    </row>
    <row r="873" spans="1:3">
      <c r="A873">
        <f t="shared" si="22"/>
        <v>0.870000000000001</v>
      </c>
      <c r="B873">
        <v>90.7531534045804</v>
      </c>
      <c r="C873">
        <v>0.328292367180189</v>
      </c>
    </row>
    <row r="874" spans="1:3">
      <c r="A874">
        <f t="shared" si="22"/>
        <v>0.871000000000001</v>
      </c>
      <c r="B874">
        <v>91.4571970841412</v>
      </c>
      <c r="C874">
        <v>0.326325706654865</v>
      </c>
    </row>
    <row r="875" spans="1:3">
      <c r="A875">
        <f t="shared" si="22"/>
        <v>0.872000000000001</v>
      </c>
      <c r="B875">
        <v>92.1666931085647</v>
      </c>
      <c r="C875">
        <v>0.324375045299269</v>
      </c>
    </row>
    <row r="876" spans="1:3">
      <c r="A876">
        <f t="shared" si="22"/>
        <v>0.873000000000001</v>
      </c>
      <c r="B876">
        <v>92.8816698354289</v>
      </c>
      <c r="C876">
        <v>0.322440622794742</v>
      </c>
    </row>
    <row r="877" spans="1:3">
      <c r="A877">
        <f t="shared" si="22"/>
        <v>0.874000000000001</v>
      </c>
      <c r="B877">
        <v>93.6021556967982</v>
      </c>
      <c r="C877">
        <v>0.320522675887285</v>
      </c>
    </row>
    <row r="878" spans="1:3">
      <c r="A878">
        <f t="shared" si="22"/>
        <v>0.875000000000001</v>
      </c>
      <c r="B878">
        <v>94.3281791992189</v>
      </c>
      <c r="C878">
        <v>0.318621438304953</v>
      </c>
    </row>
    <row r="879" spans="1:3">
      <c r="A879">
        <f t="shared" si="22"/>
        <v>0.876000000000001</v>
      </c>
      <c r="B879">
        <v>95.0597689237223</v>
      </c>
      <c r="C879">
        <v>0.31673714065648</v>
      </c>
    </row>
    <row r="880" spans="1:3">
      <c r="A880">
        <f t="shared" si="22"/>
        <v>0.877000000000001</v>
      </c>
      <c r="B880">
        <v>95.7969535258211</v>
      </c>
      <c r="C880">
        <v>0.31487001034874</v>
      </c>
    </row>
    <row r="881" spans="1:3">
      <c r="A881">
        <f t="shared" si="22"/>
        <v>0.878000000000001</v>
      </c>
      <c r="B881">
        <v>96.539761735512</v>
      </c>
      <c r="C881">
        <v>0.313020271489372</v>
      </c>
    </row>
    <row r="882" spans="1:3">
      <c r="A882">
        <f t="shared" si="22"/>
        <v>0.879000000000001</v>
      </c>
      <c r="B882">
        <v>97.2882223572777</v>
      </c>
      <c r="C882">
        <v>0.311188144789151</v>
      </c>
    </row>
    <row r="883" spans="1:3">
      <c r="A883">
        <f t="shared" si="22"/>
        <v>0.880000000000001</v>
      </c>
      <c r="B883">
        <v>98.0423642700808</v>
      </c>
      <c r="C883">
        <v>0.3093738474773</v>
      </c>
    </row>
    <row r="884" spans="1:3">
      <c r="A884">
        <f t="shared" si="22"/>
        <v>0.881000000000001</v>
      </c>
      <c r="B884">
        <v>98.8022164273694</v>
      </c>
      <c r="C884">
        <v>0.307577593198121</v>
      </c>
    </row>
    <row r="885" spans="1:3">
      <c r="A885">
        <f t="shared" si="22"/>
        <v>0.882000000000001</v>
      </c>
      <c r="B885">
        <v>99.5678078570734</v>
      </c>
      <c r="C885">
        <v>0.30579959192089</v>
      </c>
    </row>
    <row r="886" spans="1:3">
      <c r="A886">
        <f t="shared" si="22"/>
        <v>0.883000000000001</v>
      </c>
      <c r="B886">
        <v>100.339167661609</v>
      </c>
      <c r="C886">
        <v>0.304040049838367</v>
      </c>
    </row>
    <row r="887" spans="1:3">
      <c r="A887">
        <f t="shared" si="22"/>
        <v>0.884000000000001</v>
      </c>
      <c r="B887">
        <v>101.116325017874</v>
      </c>
      <c r="C887">
        <v>0.302299169274985</v>
      </c>
    </row>
    <row r="888" spans="1:3">
      <c r="A888">
        <f t="shared" si="22"/>
        <v>0.885000000000001</v>
      </c>
      <c r="B888">
        <v>101.899309177249</v>
      </c>
      <c r="C888">
        <v>0.300577148588174</v>
      </c>
    </row>
    <row r="889" spans="1:3">
      <c r="A889">
        <f t="shared" si="22"/>
        <v>0.886000000000001</v>
      </c>
      <c r="B889">
        <v>102.6881494656</v>
      </c>
      <c r="C889">
        <v>0.298874182067441</v>
      </c>
    </row>
    <row r="890" spans="1:3">
      <c r="A890">
        <f t="shared" si="22"/>
        <v>0.887000000000001</v>
      </c>
      <c r="B890">
        <v>103.482875283275</v>
      </c>
      <c r="C890">
        <v>0.297190459838668</v>
      </c>
    </row>
    <row r="891" spans="1:3">
      <c r="A891">
        <f t="shared" si="22"/>
        <v>0.888000000000001</v>
      </c>
      <c r="B891">
        <v>104.283516105107</v>
      </c>
      <c r="C891">
        <v>0.295526167763929</v>
      </c>
    </row>
    <row r="892" spans="1:3">
      <c r="A892">
        <f t="shared" si="22"/>
        <v>0.889000000000001</v>
      </c>
      <c r="B892">
        <v>105.090101480408</v>
      </c>
      <c r="C892">
        <v>0.293881487341123</v>
      </c>
    </row>
    <row r="893" spans="1:3">
      <c r="A893">
        <f t="shared" si="22"/>
        <v>0.890000000000001</v>
      </c>
      <c r="B893">
        <v>105.902661032981</v>
      </c>
      <c r="C893">
        <v>0.292256595600357</v>
      </c>
    </row>
    <row r="894" spans="1:3">
      <c r="A894">
        <f t="shared" si="22"/>
        <v>0.891000000000001</v>
      </c>
      <c r="B894">
        <v>106.721224461106</v>
      </c>
      <c r="C894">
        <v>0.290651665007314</v>
      </c>
    </row>
    <row r="895" spans="1:3">
      <c r="A895">
        <f t="shared" si="22"/>
        <v>0.892000000000001</v>
      </c>
      <c r="B895">
        <v>107.545821537549</v>
      </c>
      <c r="C895">
        <v>0.289066863360139</v>
      </c>
    </row>
    <row r="896" spans="1:3">
      <c r="A896">
        <f t="shared" si="22"/>
        <v>0.893000000000001</v>
      </c>
      <c r="B896">
        <v>108.37648210956</v>
      </c>
      <c r="C896">
        <v>0.28750235368264</v>
      </c>
    </row>
    <row r="897" spans="1:3">
      <c r="A897">
        <f t="shared" si="22"/>
        <v>0.894000000000001</v>
      </c>
      <c r="B897">
        <v>109.213236098871</v>
      </c>
      <c r="C897">
        <v>0.28595829412688</v>
      </c>
    </row>
    <row r="898" spans="1:3">
      <c r="A898">
        <f t="shared" si="22"/>
        <v>0.895000000000001</v>
      </c>
      <c r="B898">
        <v>110.0561135017</v>
      </c>
      <c r="C898">
        <v>0.284434837862531</v>
      </c>
    </row>
    <row r="899" spans="1:3">
      <c r="A899">
        <f t="shared" si="22"/>
        <v>0.896000000000001</v>
      </c>
      <c r="B899">
        <v>110.905144388744</v>
      </c>
      <c r="C899">
        <v>0.28293213297849</v>
      </c>
    </row>
    <row r="900" spans="1:3">
      <c r="A900">
        <f t="shared" si="22"/>
        <v>0.897000000000001</v>
      </c>
      <c r="B900">
        <v>111.760358905187</v>
      </c>
      <c r="C900">
        <v>0.28145032237434</v>
      </c>
    </row>
    <row r="901" spans="1:3">
      <c r="A901">
        <f t="shared" ref="A901:A964" si="23">A900+0.001</f>
        <v>0.898000000000001</v>
      </c>
      <c r="B901">
        <v>112.621787270698</v>
      </c>
      <c r="C901">
        <v>0.279989543651255</v>
      </c>
    </row>
    <row r="902" spans="1:3">
      <c r="A902">
        <f t="shared" si="23"/>
        <v>0.899000000000001</v>
      </c>
      <c r="B902">
        <v>113.489459779425</v>
      </c>
      <c r="C902">
        <v>0.278549929013569</v>
      </c>
    </row>
    <row r="903" spans="1:3">
      <c r="A903">
        <f t="shared" si="23"/>
        <v>0.900000000000001</v>
      </c>
      <c r="B903">
        <v>114.363406800001</v>
      </c>
      <c r="C903">
        <v>0.277131605153849</v>
      </c>
    </row>
    <row r="904" spans="1:3">
      <c r="A904">
        <f t="shared" si="23"/>
        <v>0.901000000000001</v>
      </c>
      <c r="B904">
        <v>115.243658775544</v>
      </c>
      <c r="C904">
        <v>0.275734693147819</v>
      </c>
    </row>
    <row r="905" spans="1:3">
      <c r="A905">
        <f t="shared" si="23"/>
        <v>0.902000000000001</v>
      </c>
      <c r="B905">
        <v>116.130246223654</v>
      </c>
      <c r="C905">
        <v>0.274359308344619</v>
      </c>
    </row>
    <row r="906" spans="1:3">
      <c r="A906">
        <f t="shared" si="23"/>
        <v>0.903000000000001</v>
      </c>
      <c r="B906">
        <v>117.023199736417</v>
      </c>
      <c r="C906">
        <v>0.273005560258903</v>
      </c>
    </row>
    <row r="907" spans="1:3">
      <c r="A907">
        <f t="shared" si="23"/>
        <v>0.904000000000001</v>
      </c>
      <c r="B907">
        <v>117.922549980398</v>
      </c>
      <c r="C907">
        <v>0.271673552461303</v>
      </c>
    </row>
    <row r="908" spans="1:3">
      <c r="A908">
        <f t="shared" si="23"/>
        <v>0.905000000000001</v>
      </c>
      <c r="B908">
        <v>118.82832769665</v>
      </c>
      <c r="C908">
        <v>0.270363382465531</v>
      </c>
    </row>
    <row r="909" spans="1:3">
      <c r="A909">
        <f t="shared" si="23"/>
        <v>0.906000000000001</v>
      </c>
      <c r="B909">
        <v>119.740563700705</v>
      </c>
      <c r="C909">
        <v>0.26907514161851</v>
      </c>
    </row>
    <row r="910" spans="1:3">
      <c r="A910">
        <f t="shared" si="23"/>
        <v>0.907000000000001</v>
      </c>
      <c r="B910">
        <v>120.659288882583</v>
      </c>
      <c r="C910">
        <v>0.267808914986976</v>
      </c>
    </row>
    <row r="911" spans="1:3">
      <c r="A911">
        <f t="shared" si="23"/>
        <v>0.908000000000001</v>
      </c>
      <c r="B911">
        <v>121.584534206785</v>
      </c>
      <c r="C911">
        <v>0.266564781249251</v>
      </c>
    </row>
    <row r="912" spans="1:3">
      <c r="A912">
        <f t="shared" si="23"/>
        <v>0.909000000000001</v>
      </c>
      <c r="B912">
        <v>122.516330712294</v>
      </c>
      <c r="C912">
        <v>0.265342812576805</v>
      </c>
    </row>
    <row r="913" spans="1:3">
      <c r="A913">
        <f t="shared" si="23"/>
        <v>0.910000000000001</v>
      </c>
      <c r="B913">
        <v>123.454709512581</v>
      </c>
      <c r="C913">
        <v>0.264143074520323</v>
      </c>
    </row>
    <row r="914" spans="1:3">
      <c r="A914">
        <f t="shared" si="23"/>
        <v>0.911000000000001</v>
      </c>
      <c r="B914">
        <v>124.399701795596</v>
      </c>
      <c r="C914">
        <v>0.262965625900469</v>
      </c>
    </row>
    <row r="915" spans="1:3">
      <c r="A915">
        <f t="shared" si="23"/>
        <v>0.912000000000001</v>
      </c>
      <c r="B915">
        <v>125.351338823775</v>
      </c>
      <c r="C915">
        <v>0.261810518688075</v>
      </c>
    </row>
    <row r="916" spans="1:3">
      <c r="A916">
        <f t="shared" si="23"/>
        <v>0.913000000000001</v>
      </c>
      <c r="B916">
        <v>126.309651934036</v>
      </c>
      <c r="C916">
        <v>0.260677797888449</v>
      </c>
    </row>
    <row r="917" spans="1:3">
      <c r="A917">
        <f t="shared" si="23"/>
        <v>0.914000000000001</v>
      </c>
      <c r="B917">
        <v>127.274672537783</v>
      </c>
      <c r="C917">
        <v>0.259567501426709</v>
      </c>
    </row>
    <row r="918" spans="1:3">
      <c r="A918">
        <f t="shared" si="23"/>
        <v>0.915000000000001</v>
      </c>
      <c r="B918">
        <v>128.2464321209</v>
      </c>
      <c r="C918">
        <v>0.258479660030909</v>
      </c>
    </row>
    <row r="919" spans="1:3">
      <c r="A919">
        <f t="shared" si="23"/>
        <v>0.916000000000001</v>
      </c>
      <c r="B919">
        <v>129.224962243756</v>
      </c>
      <c r="C919">
        <v>0.257414297111792</v>
      </c>
    </row>
    <row r="920" spans="1:3">
      <c r="A920">
        <f t="shared" si="23"/>
        <v>0.917000000000001</v>
      </c>
      <c r="B920">
        <v>130.210294541205</v>
      </c>
      <c r="C920">
        <v>0.256371428645417</v>
      </c>
    </row>
    <row r="921" spans="1:3">
      <c r="A921">
        <f t="shared" si="23"/>
        <v>0.918000000000001</v>
      </c>
      <c r="B921">
        <v>131.202460722581</v>
      </c>
      <c r="C921">
        <v>0.255351063053688</v>
      </c>
    </row>
    <row r="922" spans="1:3">
      <c r="A922">
        <f t="shared" si="23"/>
        <v>0.919000000000001</v>
      </c>
      <c r="B922">
        <v>132.201492571706</v>
      </c>
      <c r="C922">
        <v>0.254353201085319</v>
      </c>
    </row>
    <row r="923" spans="1:3">
      <c r="A923">
        <f t="shared" si="23"/>
        <v>0.920000000000001</v>
      </c>
      <c r="B923">
        <v>133.20742194688</v>
      </c>
      <c r="C923">
        <v>0.253377835696445</v>
      </c>
    </row>
    <row r="924" spans="1:3">
      <c r="A924">
        <f t="shared" si="23"/>
        <v>0.921000000000001</v>
      </c>
      <c r="B924">
        <v>134.220280780894</v>
      </c>
      <c r="C924">
        <v>0.252424951923326</v>
      </c>
    </row>
    <row r="925" spans="1:3">
      <c r="A925">
        <f t="shared" si="23"/>
        <v>0.922000000000001</v>
      </c>
      <c r="B925">
        <v>135.240101081014</v>
      </c>
      <c r="C925">
        <v>0.251494526771622</v>
      </c>
    </row>
    <row r="926" spans="1:3">
      <c r="A926">
        <f t="shared" si="23"/>
        <v>0.923000000000001</v>
      </c>
      <c r="B926">
        <v>136.266914928994</v>
      </c>
      <c r="C926">
        <v>0.250586529082859</v>
      </c>
    </row>
    <row r="927" spans="1:3">
      <c r="A927">
        <f t="shared" si="23"/>
        <v>0.924000000000001</v>
      </c>
      <c r="B927">
        <v>137.300754481073</v>
      </c>
      <c r="C927">
        <v>0.249700919416144</v>
      </c>
    </row>
    <row r="928" spans="1:3">
      <c r="A928">
        <f t="shared" si="23"/>
        <v>0.925000000000001</v>
      </c>
      <c r="B928">
        <v>138.341651967969</v>
      </c>
      <c r="C928">
        <v>0.248837649925959</v>
      </c>
    </row>
    <row r="929" spans="1:3">
      <c r="A929">
        <f t="shared" si="23"/>
        <v>0.926000000000001</v>
      </c>
      <c r="B929">
        <v>139.389639694889</v>
      </c>
      <c r="C929">
        <v>0.247996664234278</v>
      </c>
    </row>
    <row r="930" spans="1:3">
      <c r="A930">
        <f t="shared" si="23"/>
        <v>0.927000000000001</v>
      </c>
      <c r="B930">
        <v>140.444750041516</v>
      </c>
      <c r="C930">
        <v>0.247177897310292</v>
      </c>
    </row>
    <row r="931" spans="1:3">
      <c r="A931">
        <f t="shared" si="23"/>
        <v>0.928000000000001</v>
      </c>
      <c r="B931">
        <v>141.507015462024</v>
      </c>
      <c r="C931">
        <v>0.246381275336624</v>
      </c>
    </row>
    <row r="932" spans="1:3">
      <c r="A932">
        <f t="shared" si="23"/>
        <v>0.929000000000001</v>
      </c>
      <c r="B932">
        <v>142.576468485066</v>
      </c>
      <c r="C932">
        <v>0.245606715592227</v>
      </c>
    </row>
    <row r="933" spans="1:3">
      <c r="A933">
        <f t="shared" si="23"/>
        <v>0.930000000000001</v>
      </c>
      <c r="B933">
        <v>143.653141713781</v>
      </c>
      <c r="C933">
        <v>0.244854126316775</v>
      </c>
    </row>
    <row r="934" spans="1:3">
      <c r="A934">
        <f t="shared" si="23"/>
        <v>0.931000000000001</v>
      </c>
      <c r="B934">
        <v>144.737067825789</v>
      </c>
      <c r="C934">
        <v>0.244123406590857</v>
      </c>
    </row>
    <row r="935" spans="1:3">
      <c r="A935">
        <f t="shared" si="23"/>
        <v>0.932000000000001</v>
      </c>
      <c r="B935">
        <v>145.828279573194</v>
      </c>
      <c r="C935">
        <v>0.243414446203234</v>
      </c>
    </row>
    <row r="936" spans="1:3">
      <c r="A936">
        <f t="shared" si="23"/>
        <v>0.933000000000001</v>
      </c>
      <c r="B936">
        <v>146.926809782586</v>
      </c>
      <c r="C936">
        <v>0.242727125519331</v>
      </c>
    </row>
    <row r="937" spans="1:3">
      <c r="A937">
        <f t="shared" si="23"/>
        <v>0.934000000000001</v>
      </c>
      <c r="B937">
        <v>148.032691355037</v>
      </c>
      <c r="C937">
        <v>0.242061315357644</v>
      </c>
    </row>
    <row r="938" spans="1:3">
      <c r="A938">
        <f t="shared" si="23"/>
        <v>0.935000000000001</v>
      </c>
      <c r="B938">
        <v>149.1459572661</v>
      </c>
      <c r="C938">
        <v>0.241416876855226</v>
      </c>
    </row>
    <row r="939" spans="1:3">
      <c r="A939">
        <f t="shared" si="23"/>
        <v>0.936000000000001</v>
      </c>
      <c r="B939">
        <v>150.266640565814</v>
      </c>
      <c r="C939">
        <v>0.240793661339312</v>
      </c>
    </row>
    <row r="940" spans="1:3">
      <c r="A940">
        <f t="shared" si="23"/>
        <v>0.937000000000001</v>
      </c>
      <c r="B940">
        <v>151.394774378703</v>
      </c>
      <c r="C940">
        <v>0.240191510190737</v>
      </c>
    </row>
    <row r="941" spans="1:3">
      <c r="A941">
        <f t="shared" si="23"/>
        <v>0.938000000000001</v>
      </c>
      <c r="B941">
        <v>152.53039190377</v>
      </c>
      <c r="C941">
        <v>0.239610254719481</v>
      </c>
    </row>
    <row r="942" spans="1:3">
      <c r="A942">
        <f t="shared" si="23"/>
        <v>0.939000000000001</v>
      </c>
      <c r="B942">
        <v>153.673526414505</v>
      </c>
      <c r="C942">
        <v>0.239049716023649</v>
      </c>
    </row>
    <row r="943" spans="1:3">
      <c r="A943">
        <f t="shared" si="23"/>
        <v>0.940000000000001</v>
      </c>
      <c r="B943">
        <v>154.824211258881</v>
      </c>
      <c r="C943">
        <v>0.238509704861104</v>
      </c>
    </row>
    <row r="944" spans="1:3">
      <c r="A944">
        <f t="shared" si="23"/>
        <v>0.941000000000001</v>
      </c>
      <c r="B944">
        <v>155.982479859354</v>
      </c>
      <c r="C944">
        <v>0.237990021513047</v>
      </c>
    </row>
    <row r="945" spans="1:3">
      <c r="A945">
        <f t="shared" si="23"/>
        <v>0.942000000000001</v>
      </c>
      <c r="B945">
        <v>157.148365712862</v>
      </c>
      <c r="C945">
        <v>0.237490455652457</v>
      </c>
    </row>
    <row r="946" spans="1:3">
      <c r="A946">
        <f t="shared" si="23"/>
        <v>0.943000000000001</v>
      </c>
      <c r="B946">
        <v>158.32190239083</v>
      </c>
      <c r="C946">
        <v>0.237010786199084</v>
      </c>
    </row>
    <row r="947" spans="1:3">
      <c r="A947">
        <f t="shared" si="23"/>
        <v>0.944000000000001</v>
      </c>
      <c r="B947">
        <v>159.503123539162</v>
      </c>
      <c r="C947">
        <v>0.236550781197178</v>
      </c>
    </row>
    <row r="948" spans="1:3">
      <c r="A948">
        <f t="shared" si="23"/>
        <v>0.945000000000001</v>
      </c>
      <c r="B948">
        <v>160.69206287825</v>
      </c>
      <c r="C948">
        <v>0.236110197665973</v>
      </c>
    </row>
    <row r="949" spans="1:3">
      <c r="A949">
        <f t="shared" si="23"/>
        <v>0.946000000000001</v>
      </c>
      <c r="B949">
        <v>161.888754202965</v>
      </c>
      <c r="C949">
        <v>0.235688781469765</v>
      </c>
    </row>
    <row r="950" spans="1:3">
      <c r="A950">
        <f t="shared" si="23"/>
        <v>0.947000000000001</v>
      </c>
      <c r="B950">
        <v>163.093231382667</v>
      </c>
      <c r="C950">
        <v>0.235286267174609</v>
      </c>
    </row>
    <row r="951" spans="1:3">
      <c r="A951">
        <f t="shared" si="23"/>
        <v>0.948000000000001</v>
      </c>
      <c r="B951">
        <v>164.305528361194</v>
      </c>
      <c r="C951">
        <v>0.234902377916237</v>
      </c>
    </row>
    <row r="952" spans="1:3">
      <c r="A952">
        <f t="shared" si="23"/>
        <v>0.949000000000001</v>
      </c>
      <c r="B952">
        <v>165.52567915687</v>
      </c>
      <c r="C952">
        <v>0.234536825253756</v>
      </c>
    </row>
    <row r="953" spans="1:3">
      <c r="A953">
        <f t="shared" si="23"/>
        <v>0.950000000000001</v>
      </c>
      <c r="B953">
        <v>2381.67610000015</v>
      </c>
      <c r="C953">
        <v>0.234189309031919</v>
      </c>
    </row>
    <row r="954" spans="1:3">
      <c r="A954">
        <f t="shared" si="23"/>
        <v>0.951000000000001</v>
      </c>
      <c r="B954">
        <v>2627.42849800015</v>
      </c>
      <c r="C954">
        <v>0.233859517240053</v>
      </c>
    </row>
    <row r="955" spans="1:3">
      <c r="A955">
        <f t="shared" si="23"/>
        <v>0.952000000000001</v>
      </c>
      <c r="B955">
        <v>2873.18089600015</v>
      </c>
      <c r="C955">
        <v>0.233547125872783</v>
      </c>
    </row>
    <row r="956" spans="1:3">
      <c r="A956">
        <f t="shared" si="23"/>
        <v>0.953000000000001</v>
      </c>
      <c r="B956">
        <v>3118.93329400015</v>
      </c>
      <c r="C956">
        <v>0.233251798784497</v>
      </c>
    </row>
    <row r="957" spans="1:3">
      <c r="A957">
        <f t="shared" si="23"/>
        <v>0.954000000000001</v>
      </c>
      <c r="B957">
        <v>3364.68569200015</v>
      </c>
      <c r="C957">
        <v>0.232973187546802</v>
      </c>
    </row>
    <row r="958" spans="1:3">
      <c r="A958">
        <f t="shared" si="23"/>
        <v>0.955000000000001</v>
      </c>
      <c r="B958">
        <v>3610.43809000015</v>
      </c>
      <c r="C958">
        <v>0.23271093130896</v>
      </c>
    </row>
    <row r="959" spans="1:3">
      <c r="A959">
        <f t="shared" si="23"/>
        <v>0.956000000000001</v>
      </c>
      <c r="B959">
        <v>3856.19048800015</v>
      </c>
      <c r="C959">
        <v>0.232464656649685</v>
      </c>
    </row>
    <row r="960" spans="1:3">
      <c r="A960">
        <f t="shared" si="23"/>
        <v>0.957000000000001</v>
      </c>
      <c r="B960">
        <v>4101.94288600016</v>
      </c>
      <c r="C960">
        <v>0.232233977432989</v>
      </c>
    </row>
    <row r="961" spans="1:3">
      <c r="A961">
        <f t="shared" si="23"/>
        <v>0.958000000000001</v>
      </c>
      <c r="B961">
        <v>4347.69528400015</v>
      </c>
      <c r="C961">
        <v>0.232018494664679</v>
      </c>
    </row>
    <row r="962" spans="1:3">
      <c r="A962">
        <f t="shared" si="23"/>
        <v>0.959000000000001</v>
      </c>
      <c r="B962">
        <v>4593.44768200016</v>
      </c>
      <c r="C962">
        <v>0.231817796345357</v>
      </c>
    </row>
    <row r="963" spans="1:3">
      <c r="A963">
        <f t="shared" si="23"/>
        <v>0.960000000000001</v>
      </c>
      <c r="B963">
        <v>4839.20008000016</v>
      </c>
      <c r="C963">
        <v>0.231631457321838</v>
      </c>
    </row>
    <row r="964" spans="1:3">
      <c r="A964">
        <f t="shared" si="23"/>
        <v>0.961000000000001</v>
      </c>
      <c r="B964">
        <v>5084.95247800016</v>
      </c>
      <c r="C964">
        <v>0.231459039141113</v>
      </c>
    </row>
    <row r="965" spans="1:3">
      <c r="A965">
        <f t="shared" ref="A965:A1003" si="24">A964+0.001</f>
        <v>0.962000000000001</v>
      </c>
      <c r="B965">
        <v>5330.70487600016</v>
      </c>
      <c r="C965">
        <v>0.231300089902855</v>
      </c>
    </row>
    <row r="966" spans="1:3">
      <c r="A966">
        <f t="shared" si="24"/>
        <v>0.963000000000001</v>
      </c>
      <c r="B966">
        <v>5576.45727400016</v>
      </c>
      <c r="C966">
        <v>0.231154144110948</v>
      </c>
    </row>
    <row r="967" spans="1:3">
      <c r="A967">
        <f t="shared" si="24"/>
        <v>0.964000000000001</v>
      </c>
      <c r="B967">
        <v>5822.20967200016</v>
      </c>
      <c r="C967">
        <v>0.231020722523978</v>
      </c>
    </row>
    <row r="968" spans="1:3">
      <c r="A968">
        <f t="shared" si="24"/>
        <v>0.965000000000001</v>
      </c>
      <c r="B968">
        <v>6067.96207000016</v>
      </c>
      <c r="C968">
        <v>0.230899332002287</v>
      </c>
    </row>
    <row r="969" spans="1:3">
      <c r="A969">
        <f t="shared" si="24"/>
        <v>0.966000000000001</v>
      </c>
      <c r="B969">
        <v>6313.71446800016</v>
      </c>
      <c r="C969">
        <v>0.23078946535937</v>
      </c>
    </row>
    <row r="970" spans="1:3">
      <c r="A970">
        <f t="shared" si="24"/>
        <v>0.967000000000001</v>
      </c>
      <c r="B970">
        <v>6559.46686600016</v>
      </c>
      <c r="C970">
        <v>0.230690601214134</v>
      </c>
    </row>
    <row r="971" spans="1:3">
      <c r="A971">
        <f t="shared" si="24"/>
        <v>0.968000000000001</v>
      </c>
      <c r="B971">
        <v>6805.21926400016</v>
      </c>
      <c r="C971">
        <v>0.230602203832034</v>
      </c>
    </row>
    <row r="972" spans="1:3">
      <c r="A972">
        <f t="shared" si="24"/>
        <v>0.969000000000001</v>
      </c>
      <c r="B972">
        <v>7050.97166200016</v>
      </c>
      <c r="C972">
        <v>0.230523722975421</v>
      </c>
    </row>
    <row r="973" spans="1:3">
      <c r="A973">
        <f t="shared" si="24"/>
        <v>0.970000000000001</v>
      </c>
      <c r="B973">
        <v>7296.72406000016</v>
      </c>
      <c r="C973">
        <v>0.230454593754758</v>
      </c>
    </row>
    <row r="974" spans="1:3">
      <c r="A974">
        <f t="shared" si="24"/>
        <v>0.971000000000001</v>
      </c>
      <c r="B974">
        <v>7542.47645800016</v>
      </c>
      <c r="C974">
        <v>0.230394236466072</v>
      </c>
    </row>
    <row r="975" spans="1:3">
      <c r="A975">
        <f t="shared" si="24"/>
        <v>0.972000000000001</v>
      </c>
      <c r="B975">
        <v>7788.22885600016</v>
      </c>
      <c r="C975">
        <v>0.230342056443394</v>
      </c>
    </row>
    <row r="976" spans="1:3">
      <c r="A976">
        <f t="shared" si="24"/>
        <v>0.973000000000001</v>
      </c>
      <c r="B976">
        <v>8033.98125400016</v>
      </c>
      <c r="C976">
        <v>0.230297443897827</v>
      </c>
    </row>
    <row r="977" spans="1:3">
      <c r="A977">
        <f t="shared" si="24"/>
        <v>0.974000000000001</v>
      </c>
      <c r="B977">
        <v>8279.73365200016</v>
      </c>
      <c r="C977">
        <v>0.230259773768541</v>
      </c>
    </row>
    <row r="978" spans="1:3">
      <c r="A978">
        <f t="shared" si="24"/>
        <v>0.975000000000001</v>
      </c>
      <c r="B978">
        <v>8525.48605000016</v>
      </c>
      <c r="C978">
        <v>0.230228405559728</v>
      </c>
    </row>
    <row r="979" spans="1:3">
      <c r="A979">
        <f t="shared" si="24"/>
        <v>0.976000000000001</v>
      </c>
      <c r="B979">
        <v>8771.23844800016</v>
      </c>
      <c r="C979">
        <v>0.230202683184451</v>
      </c>
    </row>
    <row r="980" spans="1:3">
      <c r="A980">
        <f t="shared" si="24"/>
        <v>0.977000000000001</v>
      </c>
      <c r="B980">
        <v>9016.99084600016</v>
      </c>
      <c r="C980">
        <v>0.230181934811085</v>
      </c>
    </row>
    <row r="981" spans="1:3">
      <c r="A981">
        <f t="shared" si="24"/>
        <v>0.978000000000001</v>
      </c>
      <c r="B981">
        <v>9262.74324400016</v>
      </c>
      <c r="C981">
        <v>0.230165472698965</v>
      </c>
    </row>
    <row r="982" spans="1:3">
      <c r="A982">
        <f t="shared" si="24"/>
        <v>0.979000000000001</v>
      </c>
      <c r="B982">
        <v>9508.49564200016</v>
      </c>
      <c r="C982">
        <v>0.230152593042835</v>
      </c>
    </row>
    <row r="983" spans="1:3">
      <c r="A983">
        <f t="shared" si="24"/>
        <v>0.980000000000001</v>
      </c>
      <c r="B983">
        <v>9754.24804000016</v>
      </c>
      <c r="C983">
        <v>0.230142575813083</v>
      </c>
    </row>
    <row r="984" spans="1:3">
      <c r="A984">
        <f t="shared" si="24"/>
        <v>0.981000000000001</v>
      </c>
      <c r="B984">
        <v>10000</v>
      </c>
      <c r="C984">
        <v>0.230134684593079</v>
      </c>
    </row>
    <row r="985" spans="1:3">
      <c r="A985">
        <f t="shared" si="24"/>
        <v>0.982000000000001</v>
      </c>
      <c r="B985">
        <v>10000</v>
      </c>
      <c r="C985">
        <v>0.230128166417743</v>
      </c>
    </row>
    <row r="986" spans="1:3">
      <c r="A986">
        <f t="shared" si="24"/>
        <v>0.983000000000001</v>
      </c>
      <c r="B986">
        <v>10000</v>
      </c>
      <c r="C986">
        <v>0.230122251614011</v>
      </c>
    </row>
    <row r="987" spans="1:3">
      <c r="A987">
        <f t="shared" si="24"/>
        <v>0.984000000000001</v>
      </c>
      <c r="B987">
        <v>10000</v>
      </c>
      <c r="C987">
        <v>0.230116153636863</v>
      </c>
    </row>
    <row r="988" spans="1:3">
      <c r="A988">
        <f t="shared" si="24"/>
        <v>0.985000000000001</v>
      </c>
      <c r="B988">
        <v>10000</v>
      </c>
      <c r="C988">
        <v>0.230109068908154</v>
      </c>
    </row>
    <row r="989" spans="1:3">
      <c r="A989">
        <f t="shared" si="24"/>
        <v>0.986000000000001</v>
      </c>
      <c r="B989">
        <v>10000</v>
      </c>
      <c r="C989">
        <v>0.230100176647208</v>
      </c>
    </row>
    <row r="990" spans="1:3">
      <c r="A990">
        <f t="shared" si="24"/>
        <v>0.987000000000001</v>
      </c>
      <c r="B990">
        <v>10000</v>
      </c>
      <c r="C990">
        <v>0.230088638713751</v>
      </c>
    </row>
    <row r="991" spans="1:3">
      <c r="A991">
        <f t="shared" si="24"/>
        <v>0.988000000000001</v>
      </c>
      <c r="B991">
        <v>10000</v>
      </c>
      <c r="C991">
        <v>0.230073599438836</v>
      </c>
    </row>
    <row r="992" spans="1:3">
      <c r="A992">
        <f t="shared" si="24"/>
        <v>0.989000000000001</v>
      </c>
      <c r="B992">
        <v>10000</v>
      </c>
      <c r="C992">
        <v>0.230054185456061</v>
      </c>
    </row>
    <row r="993" spans="1:3">
      <c r="A993">
        <f t="shared" si="24"/>
        <v>0.990000000000001</v>
      </c>
      <c r="B993">
        <v>10000</v>
      </c>
      <c r="C993">
        <v>0.230029505543237</v>
      </c>
    </row>
    <row r="994" spans="1:3">
      <c r="A994">
        <f t="shared" si="24"/>
        <v>0.991000000000001</v>
      </c>
      <c r="B994">
        <v>10000</v>
      </c>
      <c r="C994">
        <v>0.229998650445139</v>
      </c>
    </row>
    <row r="995" spans="1:3">
      <c r="A995">
        <f t="shared" si="24"/>
        <v>0.992000000000001</v>
      </c>
      <c r="B995">
        <v>10000</v>
      </c>
      <c r="C995">
        <v>0.229960692716781</v>
      </c>
    </row>
    <row r="996" spans="1:3">
      <c r="A996">
        <f t="shared" si="24"/>
        <v>0.993000000000001</v>
      </c>
      <c r="B996">
        <v>10000</v>
      </c>
      <c r="C996">
        <v>0.229914686542254</v>
      </c>
    </row>
    <row r="997" spans="1:3">
      <c r="A997">
        <f t="shared" si="24"/>
        <v>0.994000000000001</v>
      </c>
      <c r="B997">
        <v>10000</v>
      </c>
      <c r="C997">
        <v>0.229859667579962</v>
      </c>
    </row>
    <row r="998" spans="1:3">
      <c r="A998">
        <f t="shared" si="24"/>
        <v>0.995000000000001</v>
      </c>
      <c r="B998">
        <v>10000</v>
      </c>
      <c r="C998">
        <v>0.229794652781249</v>
      </c>
    </row>
    <row r="999" spans="1:3">
      <c r="A999">
        <f t="shared" si="24"/>
        <v>0.996000000000001</v>
      </c>
      <c r="B999">
        <v>10000</v>
      </c>
      <c r="C999">
        <v>0.229718640223591</v>
      </c>
    </row>
    <row r="1000" spans="1:3">
      <c r="A1000">
        <f t="shared" si="24"/>
        <v>0.997000000000001</v>
      </c>
      <c r="B1000">
        <v>10000</v>
      </c>
      <c r="C1000">
        <v>0.229630608943649</v>
      </c>
    </row>
    <row r="1001" spans="1:3">
      <c r="A1001">
        <f t="shared" si="24"/>
        <v>0.998000000000001</v>
      </c>
      <c r="B1001">
        <v>10000</v>
      </c>
      <c r="C1001">
        <v>0.229529518758845</v>
      </c>
    </row>
    <row r="1002" spans="1:3">
      <c r="A1002">
        <f t="shared" si="24"/>
        <v>0.999000000000001</v>
      </c>
      <c r="B1002">
        <v>10000</v>
      </c>
      <c r="C1002">
        <v>0.229414310099235</v>
      </c>
    </row>
    <row r="1003" spans="1:3">
      <c r="A1003">
        <f t="shared" si="24"/>
        <v>1</v>
      </c>
      <c r="B1003">
        <v>10000</v>
      </c>
      <c r="C1003">
        <v>0.229283903834712</v>
      </c>
    </row>
  </sheetData>
  <mergeCells count="1">
    <mergeCell ref="B1:C1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BB245"/>
  <sheetViews>
    <sheetView topLeftCell="A169" workbookViewId="0">
      <pane xSplit="1" topLeftCell="B1" activePane="topRight" state="frozen"/>
      <selection/>
      <selection pane="topRight" activeCell="D230" sqref="D230"/>
    </sheetView>
  </sheetViews>
  <sheetFormatPr defaultColWidth="9" defaultRowHeight="13.5"/>
  <cols>
    <col min="1" max="1" width="12.425" style="1" customWidth="1"/>
    <col min="43" max="43" width="14.2833333333333" customWidth="1"/>
  </cols>
  <sheetData>
    <row r="1" spans="2:5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BA1">
        <v>1</v>
      </c>
      <c r="BB1" t="s">
        <v>219</v>
      </c>
    </row>
    <row r="2" s="1" customFormat="1" spans="1:54">
      <c r="A2" s="1" t="s">
        <v>220</v>
      </c>
      <c r="B2" s="1">
        <v>5</v>
      </c>
      <c r="C2" s="1">
        <f>B2+0.5</f>
        <v>5.5</v>
      </c>
      <c r="D2" s="1">
        <f t="shared" ref="D2:AP2" si="0">C2+0.5</f>
        <v>6</v>
      </c>
      <c r="E2" s="1">
        <f t="shared" si="0"/>
        <v>6.5</v>
      </c>
      <c r="F2" s="1">
        <f t="shared" si="0"/>
        <v>7</v>
      </c>
      <c r="G2" s="1">
        <f t="shared" si="0"/>
        <v>7.5</v>
      </c>
      <c r="H2" s="1">
        <f t="shared" si="0"/>
        <v>8</v>
      </c>
      <c r="I2" s="1">
        <f t="shared" si="0"/>
        <v>8.5</v>
      </c>
      <c r="J2" s="1">
        <f t="shared" si="0"/>
        <v>9</v>
      </c>
      <c r="K2" s="1">
        <f t="shared" si="0"/>
        <v>9.5</v>
      </c>
      <c r="L2" s="1">
        <f t="shared" si="0"/>
        <v>10</v>
      </c>
      <c r="M2" s="1">
        <f t="shared" si="0"/>
        <v>10.5</v>
      </c>
      <c r="N2" s="1">
        <f t="shared" si="0"/>
        <v>11</v>
      </c>
      <c r="O2" s="1">
        <f t="shared" si="0"/>
        <v>11.5</v>
      </c>
      <c r="P2" s="1">
        <f t="shared" si="0"/>
        <v>12</v>
      </c>
      <c r="Q2" s="1">
        <f t="shared" si="0"/>
        <v>12.5</v>
      </c>
      <c r="R2" s="1">
        <f t="shared" si="0"/>
        <v>13</v>
      </c>
      <c r="S2" s="1">
        <f t="shared" si="0"/>
        <v>13.5</v>
      </c>
      <c r="T2" s="1">
        <f t="shared" si="0"/>
        <v>14</v>
      </c>
      <c r="U2" s="1">
        <f t="shared" si="0"/>
        <v>14.5</v>
      </c>
      <c r="V2" s="1">
        <f t="shared" si="0"/>
        <v>15</v>
      </c>
      <c r="W2" s="1">
        <f t="shared" si="0"/>
        <v>15.5</v>
      </c>
      <c r="X2" s="1">
        <f t="shared" si="0"/>
        <v>16</v>
      </c>
      <c r="Y2" s="1">
        <f t="shared" si="0"/>
        <v>16.5</v>
      </c>
      <c r="Z2" s="1">
        <f t="shared" si="0"/>
        <v>17</v>
      </c>
      <c r="AA2" s="1">
        <f t="shared" si="0"/>
        <v>17.5</v>
      </c>
      <c r="AB2" s="1">
        <f t="shared" si="0"/>
        <v>18</v>
      </c>
      <c r="AC2" s="1">
        <f t="shared" si="0"/>
        <v>18.5</v>
      </c>
      <c r="AD2" s="1">
        <f t="shared" si="0"/>
        <v>19</v>
      </c>
      <c r="AE2" s="1">
        <f t="shared" si="0"/>
        <v>19.5</v>
      </c>
      <c r="AF2" s="1">
        <f t="shared" si="0"/>
        <v>20</v>
      </c>
      <c r="AG2" s="1">
        <f t="shared" si="0"/>
        <v>20.5</v>
      </c>
      <c r="AH2" s="1">
        <f t="shared" si="0"/>
        <v>21</v>
      </c>
      <c r="AI2" s="1">
        <f t="shared" si="0"/>
        <v>21.5</v>
      </c>
      <c r="AJ2" s="1">
        <f t="shared" si="0"/>
        <v>22</v>
      </c>
      <c r="AK2" s="1">
        <f t="shared" si="0"/>
        <v>22.5</v>
      </c>
      <c r="AL2" s="1">
        <f t="shared" si="0"/>
        <v>23</v>
      </c>
      <c r="AM2" s="1">
        <f t="shared" si="0"/>
        <v>23.5</v>
      </c>
      <c r="AN2" s="1">
        <f t="shared" si="0"/>
        <v>24</v>
      </c>
      <c r="AO2" s="1">
        <f t="shared" si="0"/>
        <v>24.5</v>
      </c>
      <c r="AP2" s="1">
        <f t="shared" si="0"/>
        <v>25</v>
      </c>
      <c r="AQ2" s="2"/>
      <c r="BA2" s="1">
        <v>2</v>
      </c>
      <c r="BB2" s="1" t="s">
        <v>221</v>
      </c>
    </row>
    <row r="3" spans="1:54">
      <c r="A3" s="1">
        <v>10</v>
      </c>
      <c r="B3">
        <v>1.32126570660738</v>
      </c>
      <c r="C3">
        <v>1.27168864358299</v>
      </c>
      <c r="D3">
        <v>1.2190819910189</v>
      </c>
      <c r="E3">
        <v>1.16412201120346</v>
      </c>
      <c r="F3">
        <v>1.10755654811406</v>
      </c>
      <c r="G3">
        <v>1.05016946338382</v>
      </c>
      <c r="H3">
        <v>0.992738931698779</v>
      </c>
      <c r="I3">
        <v>0.935995646906053</v>
      </c>
      <c r="J3">
        <v>0.880587005140076</v>
      </c>
      <c r="K3">
        <v>0.827051784289224</v>
      </c>
      <c r="L3">
        <v>0.775807341877006</v>
      </c>
      <c r="M3">
        <v>0.727148797969394</v>
      </c>
      <c r="N3">
        <v>0.681257794021025</v>
      </c>
      <c r="O3">
        <v>0.638217543238043</v>
      </c>
      <c r="P3">
        <v>0.598030920656102</v>
      </c>
      <c r="Q3">
        <v>0.560638956295687</v>
      </c>
      <c r="R3">
        <v>0.525937935671751</v>
      </c>
      <c r="S3">
        <v>0.493794115202489</v>
      </c>
      <c r="T3">
        <v>0.464055688961831</v>
      </c>
      <c r="U3">
        <v>0.436562063275467</v>
      </c>
      <c r="V3">
        <v>0.41115073199708</v>
      </c>
      <c r="W3">
        <v>0.387662146060082</v>
      </c>
      <c r="X3">
        <v>0.365942984629659</v>
      </c>
      <c r="Y3">
        <v>0.34584820069392</v>
      </c>
      <c r="Z3">
        <v>0.327242158086695</v>
      </c>
      <c r="AA3">
        <v>0.309999116218599</v>
      </c>
      <c r="AB3">
        <v>0.294003262108374</v>
      </c>
      <c r="AC3">
        <v>0.279148440606487</v>
      </c>
      <c r="AD3">
        <v>0.265337694026282</v>
      </c>
      <c r="AE3">
        <v>0.252482691254756</v>
      </c>
      <c r="AF3">
        <v>0.240503102644183</v>
      </c>
      <c r="AG3">
        <v>0.229325959242929</v>
      </c>
      <c r="AH3">
        <v>0.218885021929352</v>
      </c>
      <c r="AI3">
        <v>0.209120176659649</v>
      </c>
      <c r="AJ3">
        <v>0.19997686542281</v>
      </c>
      <c r="AK3">
        <v>0.191405557899246</v>
      </c>
      <c r="AL3">
        <v>0.183361265695329</v>
      </c>
      <c r="AM3">
        <v>0.17580309896041</v>
      </c>
      <c r="AN3">
        <v>0.168693863878963</v>
      </c>
      <c r="AO3">
        <v>0.161999698743262</v>
      </c>
      <c r="AP3">
        <v>0.155689745888061</v>
      </c>
      <c r="AQ3" s="3"/>
      <c r="AU3">
        <v>0</v>
      </c>
      <c r="AV3">
        <v>1</v>
      </c>
      <c r="BA3">
        <v>3</v>
      </c>
      <c r="BB3" t="s">
        <v>222</v>
      </c>
    </row>
    <row r="4" spans="1:54">
      <c r="A4" s="1">
        <f>A3+0.5</f>
        <v>10.5</v>
      </c>
      <c r="B4">
        <v>1.3326936708109</v>
      </c>
      <c r="C4">
        <v>1.28515227912601</v>
      </c>
      <c r="D4">
        <v>1.23456915237632</v>
      </c>
      <c r="E4">
        <v>1.18154991953412</v>
      </c>
      <c r="F4">
        <v>1.12677287957382</v>
      </c>
      <c r="G4">
        <v>1.07095999408868</v>
      </c>
      <c r="H4">
        <v>1.01484114360607</v>
      </c>
      <c r="I4">
        <v>0.959116462447586</v>
      </c>
      <c r="J4">
        <v>0.904422043725636</v>
      </c>
      <c r="K4">
        <v>0.851303456938787</v>
      </c>
      <c r="L4">
        <v>0.800199673443772</v>
      </c>
      <c r="M4">
        <v>0.751437812862798</v>
      </c>
      <c r="N4">
        <v>0.70523727600348</v>
      </c>
      <c r="O4">
        <v>0.66172072337648</v>
      </c>
      <c r="P4">
        <v>0.620929054499868</v>
      </c>
      <c r="Q4">
        <v>0.582837850134708</v>
      </c>
      <c r="R4">
        <v>0.54737337058115</v>
      </c>
      <c r="S4">
        <v>0.514426904359772</v>
      </c>
      <c r="T4">
        <v>0.483866871173006</v>
      </c>
      <c r="U4">
        <v>0.455548532025559</v>
      </c>
      <c r="V4">
        <v>0.429321444018239</v>
      </c>
      <c r="W4">
        <v>0.405034947330236</v>
      </c>
      <c r="X4">
        <v>0.3825420268197</v>
      </c>
      <c r="Y4">
        <v>0.361701886657026</v>
      </c>
      <c r="Z4">
        <v>0.342381541048424</v>
      </c>
      <c r="AA4">
        <v>0.324456675972309</v>
      </c>
      <c r="AB4">
        <v>0.307811987096437</v>
      </c>
      <c r="AC4">
        <v>0.292341153549102</v>
      </c>
      <c r="AD4">
        <v>0.277946568471269</v>
      </c>
      <c r="AE4">
        <v>0.264538915789725</v>
      </c>
      <c r="AF4">
        <v>0.252036657910246</v>
      </c>
      <c r="AG4">
        <v>0.240365480082094</v>
      </c>
      <c r="AH4">
        <v>0.229457722972632</v>
      </c>
      <c r="AI4">
        <v>0.219251824518773</v>
      </c>
      <c r="AJ4">
        <v>0.209691784531877</v>
      </c>
      <c r="AK4">
        <v>0.200726660120548</v>
      </c>
      <c r="AL4">
        <v>0.19231009620398</v>
      </c>
      <c r="AM4">
        <v>0.184399892786119</v>
      </c>
      <c r="AN4">
        <v>0.176957608920832</v>
      </c>
      <c r="AO4">
        <v>0.16994820217608</v>
      </c>
      <c r="AP4">
        <v>0.163339701719776</v>
      </c>
      <c r="AQ4" s="3"/>
      <c r="AU4">
        <v>1</v>
      </c>
      <c r="AV4">
        <v>1</v>
      </c>
      <c r="BA4">
        <v>4</v>
      </c>
      <c r="BB4" t="s">
        <v>223</v>
      </c>
    </row>
    <row r="5" spans="1:54">
      <c r="A5" s="1">
        <f t="shared" ref="A5:A68" si="1">A4+0.5</f>
        <v>11</v>
      </c>
      <c r="B5">
        <v>1.34313811082497</v>
      </c>
      <c r="C5">
        <v>1.29748516625049</v>
      </c>
      <c r="D5">
        <v>1.24879558476274</v>
      </c>
      <c r="E5">
        <v>1.1976129499372</v>
      </c>
      <c r="F5">
        <v>1.14455290917933</v>
      </c>
      <c r="G5">
        <v>1.09027965980493</v>
      </c>
      <c r="H5">
        <v>1.03547554524086</v>
      </c>
      <c r="I5">
        <v>0.980807522497587</v>
      </c>
      <c r="J5">
        <v>0.926895004575808</v>
      </c>
      <c r="K5">
        <v>0.874283243822485</v>
      </c>
      <c r="L5">
        <v>0.823425131219156</v>
      </c>
      <c r="M5">
        <v>0.774672502101795</v>
      </c>
      <c r="N5">
        <v>0.728276326155631</v>
      </c>
      <c r="O5">
        <v>0.684393946929613</v>
      </c>
      <c r="P5">
        <v>0.643100988778626</v>
      </c>
      <c r="Q5">
        <v>0.604405590544105</v>
      </c>
      <c r="R5">
        <v>0.568263046650721</v>
      </c>
      <c r="S5">
        <v>0.534589512394834</v>
      </c>
      <c r="T5">
        <v>0.503273991338299</v>
      </c>
      <c r="U5">
        <v>0.474188275741226</v>
      </c>
      <c r="V5">
        <v>0.447194826901018</v>
      </c>
      <c r="W5">
        <v>0.422152772026806</v>
      </c>
      <c r="X5">
        <v>0.398922286407219</v>
      </c>
      <c r="Y5">
        <v>0.37736765546723</v>
      </c>
      <c r="Z5">
        <v>0.357359297508585</v>
      </c>
      <c r="AA5">
        <v>0.33877499405102</v>
      </c>
      <c r="AB5">
        <v>0.321500533566782</v>
      </c>
      <c r="AC5">
        <v>0.305429933571649</v>
      </c>
      <c r="AD5">
        <v>0.290465369361705</v>
      </c>
      <c r="AE5">
        <v>0.27651690669491</v>
      </c>
      <c r="AF5">
        <v>0.26350211059478</v>
      </c>
      <c r="AG5">
        <v>0.251345582698885</v>
      </c>
      <c r="AH5">
        <v>0.239978464402743</v>
      </c>
      <c r="AI5">
        <v>0.229337931620289</v>
      </c>
      <c r="AJ5">
        <v>0.219366698515627</v>
      </c>
      <c r="AK5">
        <v>0.210012541386419</v>
      </c>
      <c r="AL5">
        <v>0.201227849446207</v>
      </c>
      <c r="AM5">
        <v>0.192969206123405</v>
      </c>
      <c r="AN5">
        <v>0.185197002328511</v>
      </c>
      <c r="AO5">
        <v>0.177875081678501</v>
      </c>
      <c r="AP5">
        <v>0.170970416712968</v>
      </c>
      <c r="AQ5" s="3"/>
      <c r="AU5">
        <v>2</v>
      </c>
      <c r="AV5">
        <v>1</v>
      </c>
      <c r="BA5">
        <v>5</v>
      </c>
      <c r="BB5" t="s">
        <v>224</v>
      </c>
    </row>
    <row r="6" spans="1:54">
      <c r="A6" s="1">
        <f t="shared" si="1"/>
        <v>11.5</v>
      </c>
      <c r="B6">
        <v>1.35271874413211</v>
      </c>
      <c r="C6">
        <v>1.30882069210485</v>
      </c>
      <c r="D6">
        <v>1.26190409506795</v>
      </c>
      <c r="E6">
        <v>1.21245800175179</v>
      </c>
      <c r="F6">
        <v>1.16104178852611</v>
      </c>
      <c r="G6">
        <v>1.10826621413607</v>
      </c>
      <c r="H6">
        <v>1.05476771647048</v>
      </c>
      <c r="I6">
        <v>1.00117883844796</v>
      </c>
      <c r="J6">
        <v>0.948098542566326</v>
      </c>
      <c r="K6">
        <v>0.896066194505673</v>
      </c>
      <c r="L6">
        <v>0.845542158754199</v>
      </c>
      <c r="M6">
        <v>0.79689654708398</v>
      </c>
      <c r="N6">
        <v>0.750406143882436</v>
      </c>
      <c r="O6">
        <v>0.706258308700559</v>
      </c>
      <c r="P6">
        <v>0.66455995083127</v>
      </c>
      <c r="Q6">
        <v>0.625349497561058</v>
      </c>
      <c r="R6">
        <v>0.588610004207211</v>
      </c>
      <c r="S6">
        <v>0.554281994888239</v>
      </c>
      <c r="T6">
        <v>0.52227511470803</v>
      </c>
      <c r="U6">
        <v>0.492478109717909</v>
      </c>
      <c r="V6">
        <v>0.464766981684319</v>
      </c>
      <c r="W6">
        <v>0.43901138365367</v>
      </c>
      <c r="X6">
        <v>0.415079446180377</v>
      </c>
      <c r="Y6">
        <v>0.392841277805957</v>
      </c>
      <c r="Z6">
        <v>0.372171391189279</v>
      </c>
      <c r="AA6">
        <v>0.352950287682496</v>
      </c>
      <c r="AB6">
        <v>0.335065401962207</v>
      </c>
      <c r="AC6">
        <v>0.318411573417407</v>
      </c>
      <c r="AD6">
        <v>0.302891177448602</v>
      </c>
      <c r="AE6">
        <v>0.288414020155972</v>
      </c>
      <c r="AF6">
        <v>0.274897074991342</v>
      </c>
      <c r="AG6">
        <v>0.262264119808141</v>
      </c>
      <c r="AH6">
        <v>0.250445316896937</v>
      </c>
      <c r="AI6">
        <v>0.239376766393588</v>
      </c>
      <c r="AJ6">
        <v>0.229000054221431</v>
      </c>
      <c r="AK6">
        <v>0.219261808862525</v>
      </c>
      <c r="AL6">
        <v>0.210113276218028</v>
      </c>
      <c r="AM6">
        <v>0.201509918180541</v>
      </c>
      <c r="AN6">
        <v>0.193411037956217</v>
      </c>
      <c r="AO6">
        <v>0.185779433371642</v>
      </c>
      <c r="AP6">
        <v>0.178581078172997</v>
      </c>
      <c r="AQ6" s="3"/>
      <c r="AU6">
        <v>3</v>
      </c>
      <c r="AV6">
        <v>1</v>
      </c>
      <c r="BA6">
        <v>6</v>
      </c>
      <c r="BB6" t="s">
        <v>225</v>
      </c>
    </row>
    <row r="7" spans="1:54">
      <c r="A7" s="1">
        <f t="shared" si="1"/>
        <v>12</v>
      </c>
      <c r="B7">
        <v>1.36153691681271</v>
      </c>
      <c r="C7">
        <v>1.31927254930034</v>
      </c>
      <c r="D7">
        <v>1.2740174537145</v>
      </c>
      <c r="E7">
        <v>1.22621268602599</v>
      </c>
      <c r="F7">
        <v>1.17636716745673</v>
      </c>
      <c r="G7">
        <v>1.12504251895552</v>
      </c>
      <c r="H7">
        <v>1.07283144494235</v>
      </c>
      <c r="I7">
        <v>1.02033184248022</v>
      </c>
      <c r="J7">
        <v>0.968119724159546</v>
      </c>
      <c r="K7">
        <v>0.916724302622183</v>
      </c>
      <c r="L7">
        <v>0.866608103111414</v>
      </c>
      <c r="M7">
        <v>0.818153912796387</v>
      </c>
      <c r="N7">
        <v>0.771659081555911</v>
      </c>
      <c r="O7">
        <v>0.727336521179129</v>
      </c>
      <c r="P7">
        <v>0.685320958566223</v>
      </c>
      <c r="Q7">
        <v>0.645678663215221</v>
      </c>
      <c r="R7">
        <v>0.608418924839336</v>
      </c>
      <c r="S7">
        <v>0.573505862856539</v>
      </c>
      <c r="T7">
        <v>0.540869558747803</v>
      </c>
      <c r="U7">
        <v>0.510415903593908</v>
      </c>
      <c r="V7">
        <v>0.482034883385731</v>
      </c>
      <c r="W7">
        <v>0.455607262057246</v>
      </c>
      <c r="X7">
        <v>0.431009771365195</v>
      </c>
      <c r="Y7">
        <v>0.408118995289351</v>
      </c>
      <c r="Z7">
        <v>0.386814165200417</v>
      </c>
      <c r="AA7">
        <v>0.366979079069431</v>
      </c>
      <c r="AB7">
        <v>0.348503337637409</v>
      </c>
      <c r="AC7">
        <v>0.331283062491033</v>
      </c>
      <c r="AD7">
        <v>0.315221231500458</v>
      </c>
      <c r="AE7">
        <v>0.300227739478678</v>
      </c>
      <c r="AF7">
        <v>0.286219267826237</v>
      </c>
      <c r="AG7">
        <v>0.27311902682908</v>
      </c>
      <c r="AH7">
        <v>0.260856418059003</v>
      </c>
      <c r="AI7">
        <v>0.24936665156005</v>
      </c>
      <c r="AJ7">
        <v>0.238590342654264</v>
      </c>
      <c r="AK7">
        <v>0.22847310572712</v>
      </c>
      <c r="AL7">
        <v>0.218965156767441</v>
      </c>
      <c r="AM7">
        <v>0.210020932320745</v>
      </c>
      <c r="AN7">
        <v>0.201598729525516</v>
      </c>
      <c r="AO7">
        <v>0.193660369764352</v>
      </c>
      <c r="AP7">
        <v>0.186170886961479</v>
      </c>
      <c r="AQ7" s="3"/>
      <c r="AU7">
        <v>4</v>
      </c>
      <c r="AV7">
        <v>1</v>
      </c>
      <c r="BA7">
        <v>7</v>
      </c>
      <c r="BB7" t="s">
        <v>226</v>
      </c>
    </row>
    <row r="8" spans="1:54">
      <c r="A8" s="1">
        <f t="shared" si="1"/>
        <v>12.5</v>
      </c>
      <c r="B8">
        <v>1.36967894279796</v>
      </c>
      <c r="C8">
        <v>1.32893815281934</v>
      </c>
      <c r="D8">
        <v>1.28524165602529</v>
      </c>
      <c r="E8">
        <v>1.23898820236149</v>
      </c>
      <c r="F8">
        <v>1.19064150530173</v>
      </c>
      <c r="G8">
        <v>1.14071819173903</v>
      </c>
      <c r="H8">
        <v>1.08976970776325</v>
      </c>
      <c r="I8">
        <v>1.03835978693099</v>
      </c>
      <c r="J8">
        <v>0.987039982227178</v>
      </c>
      <c r="K8">
        <v>0.936326171164135</v>
      </c>
      <c r="L8">
        <v>0.88667873156219</v>
      </c>
      <c r="M8">
        <v>0.838488324356404</v>
      </c>
      <c r="N8">
        <v>0.792068151706771</v>
      </c>
      <c r="O8">
        <v>0.7476524898783</v>
      </c>
      <c r="P8">
        <v>0.705400476865049</v>
      </c>
      <c r="Q8">
        <v>0.665403686557501</v>
      </c>
      <c r="R8">
        <v>0.627695934746849</v>
      </c>
      <c r="S8">
        <v>0.592263941389866</v>
      </c>
      <c r="T8">
        <v>0.559057794307369</v>
      </c>
      <c r="U8">
        <v>0.528000514006325</v>
      </c>
      <c r="V8">
        <v>0.498996336270503</v>
      </c>
      <c r="W8">
        <v>0.471937574530773</v>
      </c>
      <c r="X8">
        <v>0.44671009157638</v>
      </c>
      <c r="Y8">
        <v>0.423197509696126</v>
      </c>
      <c r="Z8">
        <v>0.401284336047999</v>
      </c>
      <c r="AA8">
        <v>0.380858192465145</v>
      </c>
      <c r="AB8">
        <v>0.361811329846788</v>
      </c>
      <c r="AC8">
        <v>0.344041586992185</v>
      </c>
      <c r="AD8">
        <v>0.327452929083246</v>
      </c>
      <c r="AE8">
        <v>0.31195567619622</v>
      </c>
      <c r="AF8">
        <v>0.297466509494514</v>
      </c>
      <c r="AG8">
        <v>0.283908323130508</v>
      </c>
      <c r="AH8">
        <v>0.271209973605602</v>
      </c>
      <c r="AI8">
        <v>0.259305965225109</v>
      </c>
      <c r="AJ8">
        <v>0.248136099959509</v>
      </c>
      <c r="AK8">
        <v>0.237645112041881</v>
      </c>
      <c r="AL8">
        <v>0.227782301557631</v>
      </c>
      <c r="AM8">
        <v>0.218501176725866</v>
      </c>
      <c r="AN8">
        <v>0.209759111199241</v>
      </c>
      <c r="AO8">
        <v>0.201517020247559</v>
      </c>
      <c r="AP8">
        <v>0.193739057920929</v>
      </c>
      <c r="AQ8" s="3"/>
      <c r="AU8">
        <v>5</v>
      </c>
      <c r="AV8">
        <v>1</v>
      </c>
      <c r="BA8">
        <v>8</v>
      </c>
      <c r="BB8" t="s">
        <v>227</v>
      </c>
    </row>
    <row r="9" spans="1:54">
      <c r="A9" s="1">
        <f t="shared" si="1"/>
        <v>13</v>
      </c>
      <c r="B9">
        <v>1.37721875186422</v>
      </c>
      <c r="C9">
        <v>1.33790138809367</v>
      </c>
      <c r="D9">
        <v>1.29566859483278</v>
      </c>
      <c r="E9">
        <v>1.25088175564744</v>
      </c>
      <c r="F9">
        <v>1.20396407865673</v>
      </c>
      <c r="G9">
        <v>1.15539110729811</v>
      </c>
      <c r="H9">
        <v>1.10567564169542</v>
      </c>
      <c r="I9">
        <v>1.05534822651087</v>
      </c>
      <c r="J9">
        <v>1.00493520426967</v>
      </c>
      <c r="K9">
        <v>0.95493682421816</v>
      </c>
      <c r="L9">
        <v>0.905807882192075</v>
      </c>
      <c r="M9">
        <v>0.857942851865604</v>
      </c>
      <c r="N9">
        <v>0.811666613734927</v>
      </c>
      <c r="O9">
        <v>0.767230942236572</v>
      </c>
      <c r="P9">
        <v>0.724816107088718</v>
      </c>
      <c r="Q9">
        <v>0.684536427175048</v>
      </c>
      <c r="R9">
        <v>0.646448416972942</v>
      </c>
      <c r="S9">
        <v>0.610560231353502</v>
      </c>
      <c r="T9">
        <v>0.576841346637358</v>
      </c>
      <c r="U9">
        <v>0.545231715537184</v>
      </c>
      <c r="V9">
        <v>0.515649926834147</v>
      </c>
      <c r="W9">
        <v>0.488000144589306</v>
      </c>
      <c r="X9">
        <v>0.462177780653307</v>
      </c>
      <c r="Y9">
        <v>0.438073970392984</v>
      </c>
      <c r="Z9">
        <v>0.415578986165096</v>
      </c>
      <c r="AA9">
        <v>0.394584750069171</v>
      </c>
      <c r="AB9">
        <v>0.374986609805842</v>
      </c>
      <c r="AC9">
        <v>0.356684529330496</v>
      </c>
      <c r="AD9">
        <v>0.339583826787421</v>
      </c>
      <c r="AE9">
        <v>0.323595570753293</v>
      </c>
      <c r="AF9">
        <v>0.30863672497306</v>
      </c>
      <c r="AG9">
        <v>0.294630113030111</v>
      </c>
      <c r="AH9">
        <v>0.28150425836539</v>
      </c>
      <c r="AI9">
        <v>0.269193141827772</v>
      </c>
      <c r="AJ9">
        <v>0.257635908297093</v>
      </c>
      <c r="AK9">
        <v>0.246776545539758</v>
      </c>
      <c r="AL9">
        <v>0.23656355196669</v>
      </c>
      <c r="AM9">
        <v>0.226949605011368</v>
      </c>
      <c r="AN9">
        <v>0.217891238117971</v>
      </c>
      <c r="AO9">
        <v>0.209348531559725</v>
      </c>
      <c r="AP9">
        <v>0.201284820277048</v>
      </c>
      <c r="AQ9" s="3"/>
      <c r="AU9">
        <f>AU8+0.5</f>
        <v>5.5</v>
      </c>
      <c r="AV9">
        <f>AV8+1</f>
        <v>2</v>
      </c>
      <c r="BA9">
        <v>9</v>
      </c>
      <c r="BB9" t="s">
        <v>228</v>
      </c>
    </row>
    <row r="10" spans="1:54">
      <c r="A10" s="1">
        <f t="shared" si="1"/>
        <v>13.5</v>
      </c>
      <c r="B10">
        <v>1.38422000497633</v>
      </c>
      <c r="C10">
        <v>1.34623483365555</v>
      </c>
      <c r="D10">
        <v>1.3053782578377</v>
      </c>
      <c r="E10">
        <v>1.26197858636503</v>
      </c>
      <c r="F10">
        <v>1.21642271723876</v>
      </c>
      <c r="G10">
        <v>1.16914874907802</v>
      </c>
      <c r="H10">
        <v>1.1206334721915</v>
      </c>
      <c r="I10">
        <v>1.07137554220904</v>
      </c>
      <c r="J10">
        <v>1.02187591273636</v>
      </c>
      <c r="K10">
        <v>0.972617630906483</v>
      </c>
      <c r="L10">
        <v>0.924047224023911</v>
      </c>
      <c r="M10">
        <v>0.876559588606161</v>
      </c>
      <c r="N10">
        <v>0.830487632498339</v>
      </c>
      <c r="O10">
        <v>0.786097107311438</v>
      </c>
      <c r="P10">
        <v>0.743586309676097</v>
      </c>
      <c r="Q10">
        <v>0.703089778463906</v>
      </c>
      <c r="R10">
        <v>0.664684834175685</v>
      </c>
      <c r="S10">
        <v>0.628399775730424</v>
      </c>
      <c r="T10">
        <v>0.594222697563969</v>
      </c>
      <c r="U10">
        <v>0.562110130955077</v>
      </c>
      <c r="V10">
        <v>0.531994975230855</v>
      </c>
      <c r="W10">
        <v>0.503793418929135</v>
      </c>
      <c r="X10">
        <v>0.47741073473171</v>
      </c>
      <c r="Y10">
        <v>0.452745960191608</v>
      </c>
      <c r="Z10">
        <v>0.42969555511899</v>
      </c>
      <c r="AA10">
        <v>0.408156166841837</v>
      </c>
      <c r="AB10">
        <v>0.388026647889188</v>
      </c>
      <c r="AC10">
        <v>0.369209466861433</v>
      </c>
      <c r="AD10">
        <v>0.351611639926303</v>
      </c>
      <c r="AE10">
        <v>0.33514529278163</v>
      </c>
      <c r="AF10">
        <v>0.319727944419449</v>
      </c>
      <c r="AG10">
        <v>0.305282586552704</v>
      </c>
      <c r="AH10">
        <v>0.291737617093556</v>
      </c>
      <c r="AI10">
        <v>0.279026672948817</v>
      </c>
      <c r="AJ10">
        <v>0.267088396607377</v>
      </c>
      <c r="AK10">
        <v>0.255866162329831</v>
      </c>
      <c r="AL10">
        <v>0.24530778092359</v>
      </c>
      <c r="AM10">
        <v>0.235365196792265</v>
      </c>
      <c r="AN10">
        <v>0.225994186898664</v>
      </c>
      <c r="AO10">
        <v>0.217154068223056</v>
      </c>
      <c r="AP10">
        <v>0.208807418018335</v>
      </c>
      <c r="AQ10" s="3"/>
      <c r="AU10">
        <f t="shared" ref="AU10:AU48" si="2">AU9+0.5</f>
        <v>6</v>
      </c>
      <c r="AV10">
        <f t="shared" ref="AV10:AV48" si="3">AV9+1</f>
        <v>3</v>
      </c>
      <c r="BA10">
        <v>10</v>
      </c>
      <c r="BB10" t="s">
        <v>229</v>
      </c>
    </row>
    <row r="11" spans="1:54">
      <c r="A11" s="1">
        <f t="shared" si="1"/>
        <v>14</v>
      </c>
      <c r="B11">
        <v>1.39073779605843</v>
      </c>
      <c r="C11">
        <v>1.35400156889128</v>
      </c>
      <c r="D11">
        <v>1.31444054079816</v>
      </c>
      <c r="E11">
        <v>1.27235367789099</v>
      </c>
      <c r="F11">
        <v>1.22809530033869</v>
      </c>
      <c r="G11">
        <v>1.18206941414042</v>
      </c>
      <c r="H11">
        <v>1.13471938422179</v>
      </c>
      <c r="I11">
        <v>1.08651347812851</v>
      </c>
      <c r="J11">
        <v>1.0379275058721</v>
      </c>
      <c r="K11">
        <v>0.989426313491184</v>
      </c>
      <c r="L11">
        <v>0.94144610533308</v>
      </c>
      <c r="M11">
        <v>0.894379408486929</v>
      </c>
      <c r="N11">
        <v>0.848564000807714</v>
      </c>
      <c r="O11">
        <v>0.804276442679206</v>
      </c>
      <c r="P11">
        <v>0.761730158967531</v>
      </c>
      <c r="Q11">
        <v>0.721077461221185</v>
      </c>
      <c r="R11">
        <v>0.682414563080394</v>
      </c>
      <c r="S11">
        <v>0.645788531842743</v>
      </c>
      <c r="T11">
        <v>0.611205189923999</v>
      </c>
      <c r="U11">
        <v>0.578637161638893</v>
      </c>
      <c r="V11">
        <v>0.548031485816682</v>
      </c>
      <c r="W11">
        <v>0.519316433054796</v>
      </c>
      <c r="X11">
        <v>0.492407348889039</v>
      </c>
      <c r="Y11">
        <v>0.467211479867929</v>
      </c>
      <c r="Z11">
        <v>0.443631829648896</v>
      </c>
      <c r="AA11">
        <v>0.42157014433949</v>
      </c>
      <c r="AB11">
        <v>0.400929150031197</v>
      </c>
      <c r="AC11">
        <v>0.38161416998525</v>
      </c>
      <c r="AD11">
        <v>0.363534241732493</v>
      </c>
      <c r="AE11">
        <v>0.346602840983541</v>
      </c>
      <c r="AF11">
        <v>0.330738303466582</v>
      </c>
      <c r="AG11">
        <v>0.315864019953403</v>
      </c>
      <c r="AH11">
        <v>0.301908465105114</v>
      </c>
      <c r="AI11">
        <v>0.288805107979438</v>
      </c>
      <c r="AJ11">
        <v>0.276492241269642</v>
      </c>
      <c r="AK11">
        <v>0.264912757519444</v>
      </c>
      <c r="AL11">
        <v>0.254013893480393</v>
      </c>
      <c r="AM11">
        <v>0.243746958199816</v>
      </c>
      <c r="AN11">
        <v>0.234067056095203</v>
      </c>
      <c r="AO11">
        <v>0.224932812950167</v>
      </c>
      <c r="AP11">
        <v>0.216306110252741</v>
      </c>
      <c r="AQ11" s="3"/>
      <c r="AU11">
        <f t="shared" si="2"/>
        <v>6.5</v>
      </c>
      <c r="AV11">
        <f t="shared" si="3"/>
        <v>4</v>
      </c>
      <c r="BA11">
        <v>11</v>
      </c>
      <c r="BB11" t="s">
        <v>230</v>
      </c>
    </row>
    <row r="12" spans="1:54">
      <c r="A12" s="1">
        <f t="shared" si="1"/>
        <v>14.5</v>
      </c>
      <c r="B12">
        <v>1.39682003027202</v>
      </c>
      <c r="C12">
        <v>1.36125665242828</v>
      </c>
      <c r="D12">
        <v>1.32291674946088</v>
      </c>
      <c r="E12">
        <v>1.28207319449799</v>
      </c>
      <c r="F12">
        <v>1.23905104494276</v>
      </c>
      <c r="G12">
        <v>1.19422328094139</v>
      </c>
      <c r="H12">
        <v>1.14800232641242</v>
      </c>
      <c r="I12">
        <v>1.10082767174764</v>
      </c>
      <c r="J12">
        <v>1.05315053535622</v>
      </c>
      <c r="K12">
        <v>1.00541701705374</v>
      </c>
      <c r="L12">
        <v>0.95805147188849</v>
      </c>
      <c r="M12">
        <v>0.911441789861841</v>
      </c>
      <c r="N12">
        <v>0.865927917928291</v>
      </c>
      <c r="O12">
        <v>0.821794404483024</v>
      </c>
      <c r="P12">
        <v>0.779267128759159</v>
      </c>
      <c r="Q12">
        <v>0.738513837543976</v>
      </c>
      <c r="R12">
        <v>0.69964774130967</v>
      </c>
      <c r="S12">
        <v>0.662733250379949</v>
      </c>
      <c r="T12">
        <v>0.62779293516316</v>
      </c>
      <c r="U12">
        <v>0.594814918950253</v>
      </c>
      <c r="V12">
        <v>0.563760097409022</v>
      </c>
      <c r="W12">
        <v>0.534568776021645</v>
      </c>
      <c r="X12">
        <v>0.50716649268498</v>
      </c>
      <c r="Y12">
        <v>0.481468931568058</v>
      </c>
      <c r="Z12">
        <v>0.457385932687517</v>
      </c>
      <c r="AA12">
        <v>0.434824663673249</v>
      </c>
      <c r="AB12">
        <v>0.413692053397239</v>
      </c>
      <c r="AC12">
        <v>0.39389659965339</v>
      </c>
      <c r="AD12">
        <v>0.375349662080815</v>
      </c>
      <c r="AE12">
        <v>0.357966342641525</v>
      </c>
      <c r="AF12">
        <v>0.341666043224417</v>
      </c>
      <c r="AG12">
        <v>0.326372776012593</v>
      </c>
      <c r="AH12">
        <v>0.31201528873108</v>
      </c>
      <c r="AI12">
        <v>0.298527054652711</v>
      </c>
      <c r="AJ12">
        <v>0.28584616665441</v>
      </c>
      <c r="AK12">
        <v>0.273915165754216</v>
      </c>
      <c r="AL12">
        <v>0.262680827320874</v>
      </c>
      <c r="AM12">
        <v>0.252093922348946</v>
      </c>
      <c r="AN12">
        <v>0.242108966620701</v>
      </c>
      <c r="AO12">
        <v>0.232683967021014</v>
      </c>
      <c r="AP12">
        <v>0.223780171541145</v>
      </c>
      <c r="AQ12" s="3"/>
      <c r="AU12">
        <f t="shared" si="2"/>
        <v>7</v>
      </c>
      <c r="AV12">
        <f t="shared" si="3"/>
        <v>5</v>
      </c>
      <c r="BA12">
        <v>12</v>
      </c>
      <c r="BB12" t="s">
        <v>231</v>
      </c>
    </row>
    <row r="13" spans="1:54">
      <c r="A13" s="1">
        <f t="shared" si="1"/>
        <v>15</v>
      </c>
      <c r="B13">
        <v>1.40250854745414</v>
      </c>
      <c r="C13">
        <v>1.36804833764087</v>
      </c>
      <c r="D13">
        <v>1.33086084857766</v>
      </c>
      <c r="E13">
        <v>1.29119569503671</v>
      </c>
      <c r="F13">
        <v>1.24935161396278</v>
      </c>
      <c r="G13">
        <v>1.20567335146313</v>
      </c>
      <c r="H13">
        <v>1.16054474567459</v>
      </c>
      <c r="I13">
        <v>1.11437816488864</v>
      </c>
      <c r="J13">
        <v>1.06760100320553</v>
      </c>
      <c r="K13">
        <v>1.02064042282235</v>
      </c>
      <c r="L13">
        <v>0.9739078397377</v>
      </c>
      <c r="M13">
        <v>0.927784694222923</v>
      </c>
      <c r="N13">
        <v>0.882610816542605</v>
      </c>
      <c r="O13">
        <v>0.838676256360736</v>
      </c>
      <c r="P13">
        <v>0.796216906662346</v>
      </c>
      <c r="Q13">
        <v>0.755413744572256</v>
      </c>
      <c r="R13">
        <v>0.716395126911973</v>
      </c>
      <c r="S13">
        <v>0.679241361884812</v>
      </c>
      <c r="T13">
        <v>0.643990724813567</v>
      </c>
      <c r="U13">
        <v>0.610646157203539</v>
      </c>
      <c r="V13">
        <v>0.579182033794276</v>
      </c>
      <c r="W13">
        <v>0.549550554703474</v>
      </c>
      <c r="X13">
        <v>0.521687484898973</v>
      </c>
      <c r="Y13">
        <v>0.495517101316439</v>
      </c>
      <c r="Z13">
        <v>0.470956311516695</v>
      </c>
      <c r="AA13">
        <v>0.447917977693984</v>
      </c>
      <c r="AB13">
        <v>0.42631352139465</v>
      </c>
      <c r="AC13">
        <v>0.406054904328179</v>
      </c>
      <c r="AD13">
        <v>0.387056085767856</v>
      </c>
      <c r="AE13">
        <v>0.369234052773394</v>
      </c>
      <c r="AF13">
        <v>0.352509510001161</v>
      </c>
      <c r="AG13">
        <v>0.336807304110463</v>
      </c>
      <c r="AH13">
        <v>0.322056645602265</v>
      </c>
      <c r="AI13">
        <v>0.308191179440686</v>
      </c>
      <c r="AJ13">
        <v>0.295148945571232</v>
      </c>
      <c r="AK13">
        <v>0.282872261676771</v>
      </c>
      <c r="AL13">
        <v>0.271307553205963</v>
      </c>
      <c r="AM13">
        <v>0.260405149756515</v>
      </c>
      <c r="AN13">
        <v>0.250119062131518</v>
      </c>
      <c r="AO13">
        <v>0.240406750629969</v>
      </c>
      <c r="AP13">
        <v>0.231228892207502</v>
      </c>
      <c r="AQ13" s="3"/>
      <c r="AU13">
        <f t="shared" si="2"/>
        <v>7.5</v>
      </c>
      <c r="AV13">
        <f t="shared" si="3"/>
        <v>6</v>
      </c>
      <c r="BA13">
        <v>13</v>
      </c>
      <c r="BB13" t="s">
        <v>75</v>
      </c>
    </row>
    <row r="14" spans="1:54">
      <c r="A14" s="1">
        <f t="shared" si="1"/>
        <v>15.5</v>
      </c>
      <c r="B14">
        <v>1.40784004342237</v>
      </c>
      <c r="C14">
        <v>1.3744190772094</v>
      </c>
      <c r="D14">
        <v>1.33832050473731</v>
      </c>
      <c r="E14">
        <v>1.29977315973885</v>
      </c>
      <c r="F14">
        <v>1.25905206991804</v>
      </c>
      <c r="G14">
        <v>1.21647628011705</v>
      </c>
      <c r="H14">
        <v>1.1724032531296</v>
      </c>
      <c r="I14">
        <v>1.12721988757168</v>
      </c>
      <c r="J14">
        <v>1.08133066524765</v>
      </c>
      <c r="K14">
        <v>1.03514389111438</v>
      </c>
      <c r="L14">
        <v>0.989057309771012</v>
      </c>
      <c r="M14">
        <v>0.943444489691074</v>
      </c>
      <c r="N14">
        <v>0.898643231158262</v>
      </c>
      <c r="O14">
        <v>0.854946912971967</v>
      </c>
      <c r="P14">
        <v>0.812599235073533</v>
      </c>
      <c r="Q14">
        <v>0.771792347274419</v>
      </c>
      <c r="R14">
        <v>0.732667970600498</v>
      </c>
      <c r="S14">
        <v>0.695320871105907</v>
      </c>
      <c r="T14">
        <v>0.659803946394825</v>
      </c>
      <c r="U14">
        <v>0.626134208769588</v>
      </c>
      <c r="V14">
        <v>0.594299054945973</v>
      </c>
      <c r="W14">
        <v>0.564262357954142</v>
      </c>
      <c r="X14">
        <v>0.535970067744586</v>
      </c>
      <c r="Y14">
        <v>0.509355140830873</v>
      </c>
      <c r="Z14">
        <v>0.484341725202765</v>
      </c>
      <c r="AA14">
        <v>0.46084860250496</v>
      </c>
      <c r="AB14">
        <v>0.438791938092841</v>
      </c>
      <c r="AC14">
        <v>0.418087416442659</v>
      </c>
      <c r="AD14">
        <v>0.398651850379249</v>
      </c>
      <c r="AE14">
        <v>0.380404352953398</v>
      </c>
      <c r="AF14">
        <v>0.363267154757232</v>
      </c>
      <c r="AG14">
        <v>0.347166140089632</v>
      </c>
      <c r="AH14">
        <v>0.332031164766076</v>
      </c>
      <c r="AI14">
        <v>0.31779620782043</v>
      </c>
      <c r="AJ14">
        <v>0.304399399613899</v>
      </c>
      <c r="AK14">
        <v>0.291782960305322</v>
      </c>
      <c r="AL14">
        <v>0.2798930753566</v>
      </c>
      <c r="AM14">
        <v>0.268679728710706</v>
      </c>
      <c r="AN14">
        <v>0.258096509373083</v>
      </c>
      <c r="AO14">
        <v>0.248100403202998</v>
      </c>
      <c r="AP14">
        <v>0.238651578625565</v>
      </c>
      <c r="AQ14" s="3"/>
      <c r="AU14">
        <f t="shared" si="2"/>
        <v>8</v>
      </c>
      <c r="AV14">
        <f t="shared" si="3"/>
        <v>7</v>
      </c>
      <c r="BA14">
        <v>14</v>
      </c>
      <c r="BB14" t="s">
        <v>232</v>
      </c>
    </row>
    <row r="15" spans="1:54">
      <c r="A15" s="1">
        <f t="shared" si="1"/>
        <v>16</v>
      </c>
      <c r="B15">
        <v>1.41284682989887</v>
      </c>
      <c r="C15">
        <v>1.38040635750674</v>
      </c>
      <c r="D15">
        <v>1.34533796051184</v>
      </c>
      <c r="E15">
        <v>1.30785186118137</v>
      </c>
      <c r="F15">
        <v>1.26820169626169</v>
      </c>
      <c r="G15">
        <v>1.22668310173912</v>
      </c>
      <c r="H15">
        <v>1.18362922434715</v>
      </c>
      <c r="I15">
        <v>1.1394031104119</v>
      </c>
      <c r="J15">
        <v>1.09438733218675</v>
      </c>
      <c r="K15">
        <v>1.04897162305944</v>
      </c>
      <c r="L15">
        <v>1.00353961360622</v>
      </c>
      <c r="M15">
        <v>0.958455910608278</v>
      </c>
      <c r="N15">
        <v>0.914054701574747</v>
      </c>
      <c r="O15">
        <v>0.870630813974199</v>
      </c>
      <c r="P15">
        <v>0.828433776420826</v>
      </c>
      <c r="Q15">
        <v>0.787665009232085</v>
      </c>
      <c r="R15">
        <v>0.748477900467033</v>
      </c>
      <c r="S15">
        <v>0.710980259418916</v>
      </c>
      <c r="T15">
        <v>0.675238504128955</v>
      </c>
      <c r="U15">
        <v>0.641282921743207</v>
      </c>
      <c r="V15">
        <v>0.609113409347462</v>
      </c>
      <c r="W15">
        <v>0.578705220990911</v>
      </c>
      <c r="X15">
        <v>0.550014380817014</v>
      </c>
      <c r="Y15">
        <v>0.522982548836526</v>
      </c>
      <c r="Z15">
        <v>0.497541231451214</v>
      </c>
      <c r="AA15">
        <v>0.473615308401192</v>
      </c>
      <c r="AB15">
        <v>0.451125902121543</v>
      </c>
      <c r="AC15">
        <v>0.429992648407823</v>
      </c>
      <c r="AD15">
        <v>0.410135443776708</v>
      </c>
      <c r="AE15">
        <v>0.39147574982072</v>
      </c>
      <c r="AF15">
        <v>0.3739375323061</v>
      </c>
      <c r="AG15">
        <v>0.357447905915049</v>
      </c>
      <c r="AH15">
        <v>0.341937546642212</v>
      </c>
      <c r="AI15">
        <v>0.327340924412736</v>
      </c>
      <c r="AJ15">
        <v>0.313596399405398</v>
      </c>
      <c r="AK15">
        <v>0.30064621733349</v>
      </c>
      <c r="AL15">
        <v>0.288436431774783</v>
      </c>
      <c r="AM15">
        <v>0.276916775591946</v>
      </c>
      <c r="AN15">
        <v>0.266040498487697</v>
      </c>
      <c r="AO15">
        <v>0.255764183684999</v>
      </c>
      <c r="AP15">
        <v>0.24604755348216</v>
      </c>
      <c r="AQ15" s="3"/>
      <c r="AU15">
        <f t="shared" si="2"/>
        <v>8.5</v>
      </c>
      <c r="AV15">
        <f t="shared" si="3"/>
        <v>8</v>
      </c>
      <c r="BA15">
        <v>15</v>
      </c>
      <c r="BB15" t="s">
        <v>233</v>
      </c>
    </row>
    <row r="16" spans="1:54">
      <c r="A16" s="1">
        <f t="shared" si="1"/>
        <v>16.5</v>
      </c>
      <c r="B16">
        <v>1.41755746477979</v>
      </c>
      <c r="C16">
        <v>1.38604339498989</v>
      </c>
      <c r="D16">
        <v>1.35195077008477</v>
      </c>
      <c r="E16">
        <v>1.3154731050956</v>
      </c>
      <c r="F16">
        <v>1.27684470556153</v>
      </c>
      <c r="G16">
        <v>1.23633987035739</v>
      </c>
      <c r="H16">
        <v>1.19426933816692</v>
      </c>
      <c r="I16">
        <v>1.1509738636398</v>
      </c>
      <c r="J16">
        <v>1.10681516210266</v>
      </c>
      <c r="K16">
        <v>1.06216483285641</v>
      </c>
      <c r="L16">
        <v>1.01739218232611</v>
      </c>
      <c r="M16">
        <v>0.972852045824301</v>
      </c>
      <c r="N16">
        <v>0.92887370569562</v>
      </c>
      <c r="O16">
        <v>0.885751824525006</v>
      </c>
      <c r="P16">
        <v>0.843740000315836</v>
      </c>
      <c r="Q16">
        <v>0.803047180220203</v>
      </c>
      <c r="R16">
        <v>0.763836818744548</v>
      </c>
      <c r="S16">
        <v>0.726228395346156</v>
      </c>
      <c r="T16">
        <v>0.690300744723515</v>
      </c>
      <c r="U16">
        <v>0.65609660050714</v>
      </c>
      <c r="V16">
        <v>0.623627787748008</v>
      </c>
      <c r="W16">
        <v>0.592880590285955</v>
      </c>
      <c r="X16">
        <v>0.563820935005403</v>
      </c>
      <c r="Y16">
        <v>0.53639915205726</v>
      </c>
      <c r="Z16">
        <v>0.510554173013128</v>
      </c>
      <c r="AA16">
        <v>0.48621711033133</v>
      </c>
      <c r="AB16">
        <v>0.463314220115008</v>
      </c>
      <c r="AC16">
        <v>0.441769288214519</v>
      </c>
      <c r="AD16">
        <v>0.421505501237219</v>
      </c>
      <c r="AE16">
        <v>0.402446873297327</v>
      </c>
      <c r="AF16">
        <v>0.384519300276733</v>
      </c>
      <c r="AG16">
        <v>0.367651309140937</v>
      </c>
      <c r="AH16">
        <v>0.351774562823647</v>
      </c>
      <c r="AI16">
        <v>0.336824172997637</v>
      </c>
      <c r="AJ16">
        <v>0.32273886474521</v>
      </c>
      <c r="AK16">
        <v>0.309461029352966</v>
      </c>
      <c r="AL16">
        <v>0.296936694503787</v>
      </c>
      <c r="AM16">
        <v>0.285115435145901</v>
      </c>
      <c r="AN16">
        <v>0.273950243284587</v>
      </c>
      <c r="AO16">
        <v>0.263397370797418</v>
      </c>
      <c r="AP16">
        <v>0.253416156017015</v>
      </c>
      <c r="AQ16" s="3"/>
      <c r="AU16">
        <f t="shared" si="2"/>
        <v>9</v>
      </c>
      <c r="AV16">
        <f t="shared" si="3"/>
        <v>9</v>
      </c>
      <c r="BA16">
        <v>16</v>
      </c>
      <c r="BB16" t="s">
        <v>234</v>
      </c>
    </row>
    <row r="17" spans="1:54">
      <c r="A17" s="1">
        <f t="shared" si="1"/>
        <v>17</v>
      </c>
      <c r="B17">
        <v>1.42199727761349</v>
      </c>
      <c r="C17">
        <v>1.39135972012169</v>
      </c>
      <c r="D17">
        <v>1.35819242070298</v>
      </c>
      <c r="E17">
        <v>1.32267386225928</v>
      </c>
      <c r="F17">
        <v>1.28502085103261</v>
      </c>
      <c r="G17">
        <v>1.24548821948947</v>
      </c>
      <c r="H17">
        <v>1.20436605898286</v>
      </c>
      <c r="I17">
        <v>1.16197432247543</v>
      </c>
      <c r="J17">
        <v>1.1186549403372</v>
      </c>
      <c r="K17">
        <v>1.07476192438571</v>
      </c>
      <c r="L17">
        <v>1.03065023128885</v>
      </c>
      <c r="M17">
        <v>0.986664349441418</v>
      </c>
      <c r="N17">
        <v>0.943127616646386</v>
      </c>
      <c r="O17">
        <v>0.90033315867577</v>
      </c>
      <c r="P17">
        <v>0.858537090277408</v>
      </c>
      <c r="Q17">
        <v>0.817954299284986</v>
      </c>
      <c r="R17">
        <v>0.778756810050594</v>
      </c>
      <c r="S17">
        <v>0.741074453062952</v>
      </c>
      <c r="T17">
        <v>0.704997388359718</v>
      </c>
      <c r="U17">
        <v>0.670579949436806</v>
      </c>
      <c r="V17">
        <v>0.637845278619677</v>
      </c>
      <c r="W17">
        <v>0.606790289212312</v>
      </c>
      <c r="X17">
        <v>0.577390586576816</v>
      </c>
      <c r="Y17">
        <v>0.549605086048036</v>
      </c>
      <c r="Z17">
        <v>0.523380163767879</v>
      </c>
      <c r="AA17">
        <v>0.498653257973852</v>
      </c>
      <c r="AB17">
        <v>0.475355899768342</v>
      </c>
      <c r="AC17">
        <v>0.453416194676789</v>
      </c>
      <c r="AD17">
        <v>0.432760802277009</v>
      </c>
      <c r="AE17">
        <v>0.413316474537588</v>
      </c>
      <c r="AF17">
        <v>0.395011217852885</v>
      </c>
      <c r="AG17">
        <v>0.377775142195002</v>
      </c>
      <c r="AH17">
        <v>0.361541055729699</v>
      </c>
      <c r="AI17">
        <v>0.346244856411156</v>
      </c>
      <c r="AJ17">
        <v>0.331825764661833</v>
      </c>
      <c r="AK17">
        <v>0.318226434000848</v>
      </c>
      <c r="AL17">
        <v>0.305392969828669</v>
      </c>
      <c r="AM17">
        <v>0.293274880709236</v>
      </c>
      <c r="AN17">
        <v>0.281824981472625</v>
      </c>
      <c r="AO17">
        <v>0.270999263266322</v>
      </c>
      <c r="AP17">
        <v>0.26075674223924</v>
      </c>
      <c r="AQ17" s="3"/>
      <c r="AU17">
        <f t="shared" si="2"/>
        <v>9.5</v>
      </c>
      <c r="AV17">
        <f t="shared" si="3"/>
        <v>10</v>
      </c>
      <c r="BA17">
        <v>17</v>
      </c>
      <c r="BB17" t="s">
        <v>235</v>
      </c>
    </row>
    <row r="18" spans="1:54">
      <c r="A18" s="1">
        <f t="shared" si="1"/>
        <v>17.5</v>
      </c>
      <c r="B18">
        <v>1.42618880989681</v>
      </c>
      <c r="C18">
        <v>1.39638166917451</v>
      </c>
      <c r="D18">
        <v>1.36409285965719</v>
      </c>
      <c r="E18">
        <v>1.32948730903814</v>
      </c>
      <c r="F18">
        <v>1.29276595551722</v>
      </c>
      <c r="G18">
        <v>1.25416585369028</v>
      </c>
      <c r="H18">
        <v>1.21395806755963</v>
      </c>
      <c r="I18">
        <v>1.17244315967471</v>
      </c>
      <c r="J18">
        <v>1.12994434428413</v>
      </c>
      <c r="K18">
        <v>1.08679866763264</v>
      </c>
      <c r="L18">
        <v>1.04334685564306</v>
      </c>
      <c r="M18">
        <v>0.999922668820402</v>
      </c>
      <c r="N18">
        <v>0.956842679806432</v>
      </c>
      <c r="O18">
        <v>0.914397322343257</v>
      </c>
      <c r="P18">
        <v>0.872843867786608</v>
      </c>
      <c r="Q18">
        <v>0.832401711982262</v>
      </c>
      <c r="R18">
        <v>0.793250060444442</v>
      </c>
      <c r="S18">
        <v>0.755527838667779</v>
      </c>
      <c r="T18">
        <v>0.719335464922609</v>
      </c>
      <c r="U18">
        <v>0.684738019911592</v>
      </c>
      <c r="V18">
        <v>0.651769325525493</v>
      </c>
      <c r="W18">
        <v>0.620436484651967</v>
      </c>
      <c r="X18">
        <v>0.590724511613859</v>
      </c>
      <c r="Y18">
        <v>0.562600776017095</v>
      </c>
      <c r="Z18">
        <v>0.536019074597872</v>
      </c>
      <c r="AA18">
        <v>0.510923225514713</v>
      </c>
      <c r="AB18">
        <v>0.487250142569826</v>
      </c>
      <c r="AC18">
        <v>0.464932392362566</v>
      </c>
      <c r="AD18">
        <v>0.443900267192715</v>
      </c>
      <c r="AE18">
        <v>0.424083423632279</v>
      </c>
      <c r="AF18">
        <v>0.405412144304798</v>
      </c>
      <c r="AG18">
        <v>0.387818281490527</v>
      </c>
      <c r="AH18">
        <v>0.371235938118334</v>
      </c>
      <c r="AI18">
        <v>0.355601936328078</v>
      </c>
      <c r="AJ18">
        <v>0.340856117373675</v>
      </c>
      <c r="AK18">
        <v>0.326941510033685</v>
      </c>
      <c r="AL18">
        <v>0.313804398418364</v>
      </c>
      <c r="AM18">
        <v>0.301394314388916</v>
      </c>
      <c r="AN18">
        <v>0.289663974856154</v>
      </c>
      <c r="AO18">
        <v>0.278569180021225</v>
      </c>
      <c r="AP18">
        <v>0.268068685120594</v>
      </c>
      <c r="AQ18" s="3"/>
      <c r="AU18">
        <f t="shared" si="2"/>
        <v>10</v>
      </c>
      <c r="AV18">
        <f t="shared" si="3"/>
        <v>11</v>
      </c>
      <c r="BA18">
        <v>18</v>
      </c>
      <c r="BB18" t="s">
        <v>236</v>
      </c>
    </row>
    <row r="19" spans="1:54">
      <c r="A19" s="1">
        <f t="shared" si="1"/>
        <v>18</v>
      </c>
      <c r="B19">
        <v>1.43015218575015</v>
      </c>
      <c r="C19">
        <v>1.40113280022459</v>
      </c>
      <c r="D19">
        <v>1.36967894279796</v>
      </c>
      <c r="E19">
        <v>1.33594329112213</v>
      </c>
      <c r="F19">
        <v>1.3001123699143</v>
      </c>
      <c r="G19">
        <v>1.26240698001677</v>
      </c>
      <c r="H19">
        <v>1.22308064537492</v>
      </c>
      <c r="I19">
        <v>1.18241586675204</v>
      </c>
      <c r="J19">
        <v>1.14071819173903</v>
      </c>
      <c r="K19">
        <v>1.09830837165571</v>
      </c>
      <c r="L19">
        <v>1.05551313234592</v>
      </c>
      <c r="M19">
        <v>1.01265528555884</v>
      </c>
      <c r="N19">
        <v>0.970044005968364</v>
      </c>
      <c r="O19">
        <v>0.927966072878446</v>
      </c>
      <c r="P19">
        <v>0.88667873156219</v>
      </c>
      <c r="Q19">
        <v>0.846404600440691</v>
      </c>
      <c r="R19">
        <v>0.807328786567366</v>
      </c>
      <c r="S19">
        <v>0.76959812390747</v>
      </c>
      <c r="T19">
        <v>0.733322255427497</v>
      </c>
      <c r="U19">
        <v>0.698576160729637</v>
      </c>
      <c r="V19">
        <v>0.665403686557501</v>
      </c>
      <c r="W19">
        <v>0.633821654737259</v>
      </c>
      <c r="X19">
        <v>0.603824180963838</v>
      </c>
      <c r="Y19">
        <v>0.575386917771315</v>
      </c>
      <c r="Z19">
        <v>0.548471019162006</v>
      </c>
      <c r="AA19">
        <v>0.523026701208456</v>
      </c>
      <c r="AB19">
        <v>0.498996336270503</v>
      </c>
      <c r="AC19">
        <v>0.476317066256425</v>
      </c>
      <c r="AD19">
        <v>0.454922953351826</v>
      </c>
      <c r="AE19">
        <v>0.434746707089627</v>
      </c>
      <c r="AF19">
        <v>0.415721037329125</v>
      </c>
      <c r="AG19">
        <v>0.397779686377256</v>
      </c>
      <c r="AH19">
        <v>0.380858192465145</v>
      </c>
      <c r="AI19">
        <v>0.364894432935765</v>
      </c>
      <c r="AJ19">
        <v>0.349828990161658</v>
      </c>
      <c r="AK19">
        <v>0.335605377330441</v>
      </c>
      <c r="AL19">
        <v>0.322170155410813</v>
      </c>
      <c r="AM19">
        <v>0.309472967195994</v>
      </c>
      <c r="AN19">
        <v>0.297466509494514</v>
      </c>
      <c r="AO19">
        <v>0.286106460364977</v>
      </c>
      <c r="AP19">
        <v>0.275351374765707</v>
      </c>
      <c r="AQ19" s="3"/>
      <c r="AU19">
        <f t="shared" si="2"/>
        <v>10.5</v>
      </c>
      <c r="AV19">
        <f t="shared" si="3"/>
        <v>12</v>
      </c>
      <c r="BA19">
        <v>19</v>
      </c>
      <c r="BB19" t="s">
        <v>237</v>
      </c>
    </row>
    <row r="20" spans="1:54">
      <c r="A20" s="1">
        <f t="shared" si="1"/>
        <v>18.5</v>
      </c>
      <c r="B20">
        <v>1.43390542539122</v>
      </c>
      <c r="C20">
        <v>1.40563424647095</v>
      </c>
      <c r="D20">
        <v>1.37497481763645</v>
      </c>
      <c r="E20">
        <v>1.34206872251718</v>
      </c>
      <c r="F20">
        <v>1.30708937125824</v>
      </c>
      <c r="G20">
        <v>1.27024268706577</v>
      </c>
      <c r="H20">
        <v>1.23176601724556</v>
      </c>
      <c r="I20">
        <v>1.1919250457846</v>
      </c>
      <c r="J20">
        <v>1.15100867228284</v>
      </c>
      <c r="K20">
        <v>1.10932205182427</v>
      </c>
      <c r="L20">
        <v>1.0671782254371</v>
      </c>
      <c r="M20">
        <v>1.02488896593455</v>
      </c>
      <c r="N20">
        <v>0.982755577390306</v>
      </c>
      <c r="O20">
        <v>0.941060392582047</v>
      </c>
      <c r="P20">
        <v>0.900059610098754</v>
      </c>
      <c r="Q20">
        <v>0.859977924947637</v>
      </c>
      <c r="R20">
        <v>0.821005174101318</v>
      </c>
      <c r="S20">
        <v>0.783294986985926</v>
      </c>
      <c r="T20">
        <v>0.746965238529567</v>
      </c>
      <c r="U20">
        <v>0.712099971963857</v>
      </c>
      <c r="V20">
        <v>0.678752395956709</v>
      </c>
      <c r="W20">
        <v>0.6469485578629</v>
      </c>
      <c r="X20">
        <v>0.616691335834</v>
      </c>
      <c r="Y20">
        <v>0.587964458903094</v>
      </c>
      <c r="Z20">
        <v>0.560736339665184</v>
      </c>
      <c r="AA20">
        <v>0.534963576799296</v>
      </c>
      <c r="AB20">
        <v>0.510594047149189</v>
      </c>
      <c r="AC20">
        <v>0.487569556197574</v>
      </c>
      <c r="AD20">
        <v>0.46582805126381</v>
      </c>
      <c r="AE20">
        <v>0.445305425115876</v>
      </c>
      <c r="AF20">
        <v>0.425936951212963</v>
      </c>
      <c r="AG20">
        <v>0.407658397942151</v>
      </c>
      <c r="AH20">
        <v>0.390406870216675</v>
      </c>
      <c r="AI20">
        <v>0.374121424504252</v>
      </c>
      <c r="AJ20">
        <v>0.358743499157095</v>
      </c>
      <c r="AK20">
        <v>0.344217196826751</v>
      </c>
      <c r="AL20">
        <v>0.330489450442665</v>
      </c>
      <c r="AM20">
        <v>0.317510099134875</v>
      </c>
      <c r="AN20">
        <v>0.305231895825895</v>
      </c>
      <c r="AO20">
        <v>0.293610464115128</v>
      </c>
      <c r="AP20">
        <v>0.282604218559508</v>
      </c>
      <c r="AQ20" s="3"/>
      <c r="AU20">
        <f t="shared" si="2"/>
        <v>11</v>
      </c>
      <c r="AV20">
        <f t="shared" si="3"/>
        <v>13</v>
      </c>
      <c r="BA20">
        <v>20</v>
      </c>
      <c r="BB20" t="s">
        <v>238</v>
      </c>
    </row>
    <row r="21" spans="1:54">
      <c r="A21" s="1">
        <f t="shared" si="1"/>
        <v>19</v>
      </c>
      <c r="B21">
        <v>1.4374647113773</v>
      </c>
      <c r="C21">
        <v>1.40990501750633</v>
      </c>
      <c r="D21">
        <v>1.38000225170681</v>
      </c>
      <c r="E21">
        <v>1.34788792981267</v>
      </c>
      <c r="F21">
        <v>1.31372350910648</v>
      </c>
      <c r="G21">
        <v>1.27770127830335</v>
      </c>
      <c r="H21">
        <v>1.24004365667067</v>
      </c>
      <c r="I21">
        <v>1.20100067390652</v>
      </c>
      <c r="J21">
        <v>1.16084556174642</v>
      </c>
      <c r="K21">
        <v>1.11986858980837</v>
      </c>
      <c r="L21">
        <v>1.07836949209434</v>
      </c>
      <c r="M21">
        <v>1.03664901797209</v>
      </c>
      <c r="N21">
        <v>0.995000264001923</v>
      </c>
      <c r="O21">
        <v>0.953700473832837</v>
      </c>
      <c r="P21">
        <v>0.91300392567495</v>
      </c>
      <c r="Q21">
        <v>0.873136375811502</v>
      </c>
      <c r="R21">
        <v>0.834291324770672</v>
      </c>
      <c r="S21">
        <v>0.796628160041434</v>
      </c>
      <c r="T21">
        <v>0.760272041950394</v>
      </c>
      <c r="U21">
        <v>0.725315262246862</v>
      </c>
      <c r="V21">
        <v>0.691819727985656</v>
      </c>
      <c r="W21">
        <v>0.659820203074664</v>
      </c>
      <c r="X21">
        <v>0.629327964145383</v>
      </c>
      <c r="Y21">
        <v>0.600334580322215</v>
      </c>
      <c r="Z21">
        <v>0.572815592711706</v>
      </c>
      <c r="AA21">
        <v>0.546733936872918</v>
      </c>
      <c r="AB21">
        <v>0.522043012127838</v>
      </c>
      <c r="AC21">
        <v>0.49868935113451</v>
      </c>
      <c r="AD21">
        <v>0.476614880462503</v>
      </c>
      <c r="AE21">
        <v>0.455758788717586</v>
      </c>
      <c r="AF21">
        <v>0.436059034837874</v>
      </c>
      <c r="AG21">
        <v>0.417453537671256</v>
      </c>
      <c r="AH21">
        <v>0.399881090925926</v>
      </c>
      <c r="AI21">
        <v>0.383282046858061</v>
      </c>
      <c r="AJ21">
        <v>0.367598809048555</v>
      </c>
      <c r="AK21">
        <v>0.352776170383</v>
      </c>
      <c r="AL21">
        <v>0.338761527625284</v>
      </c>
      <c r="AM21">
        <v>0.325504999249192</v>
      </c>
      <c r="AN21">
        <v>0.312959468756261</v>
      </c>
      <c r="AO21">
        <v>0.301080571717236</v>
      </c>
      <c r="AP21">
        <v>0.289826641292145</v>
      </c>
      <c r="AQ21" s="3"/>
      <c r="AU21">
        <f t="shared" si="2"/>
        <v>11.5</v>
      </c>
      <c r="AV21">
        <f t="shared" si="3"/>
        <v>14</v>
      </c>
      <c r="BA21">
        <v>21</v>
      </c>
      <c r="BB21" t="s">
        <v>239</v>
      </c>
    </row>
    <row r="22" spans="1:54">
      <c r="A22" s="1">
        <f t="shared" si="1"/>
        <v>19.5</v>
      </c>
      <c r="B22">
        <v>1.44084461566148</v>
      </c>
      <c r="C22">
        <v>1.41396225718038</v>
      </c>
      <c r="D22">
        <v>1.38478091495785</v>
      </c>
      <c r="E22">
        <v>1.35342295006689</v>
      </c>
      <c r="F22">
        <v>1.32003890758593</v>
      </c>
      <c r="G22">
        <v>1.28480856555433</v>
      </c>
      <c r="H22">
        <v>1.24794055795843</v>
      </c>
      <c r="I22">
        <v>1.20967034266849</v>
      </c>
      <c r="J22">
        <v>1.17025642019571</v>
      </c>
      <c r="K22">
        <v>1.12997488537959</v>
      </c>
      <c r="L22">
        <v>1.0891125876182</v>
      </c>
      <c r="M22">
        <v>1.04795935285122</v>
      </c>
      <c r="N22">
        <v>1.00679984746286</v>
      </c>
      <c r="O22">
        <v>0.965905713791711</v>
      </c>
      <c r="P22">
        <v>0.925528568208216</v>
      </c>
      <c r="Q22">
        <v>0.88589433432601</v>
      </c>
      <c r="R22">
        <v>0.847199211119552</v>
      </c>
      <c r="S22">
        <v>0.809607382850898</v>
      </c>
      <c r="T22">
        <v>0.773250398614497</v>
      </c>
      <c r="U22">
        <v>0.73822800943083</v>
      </c>
      <c r="V22">
        <v>0.704610163088254</v>
      </c>
      <c r="W22">
        <v>0.672439821912563</v>
      </c>
      <c r="X22">
        <v>0.641736277737077</v>
      </c>
      <c r="Y22">
        <v>0.612498678221922</v>
      </c>
      <c r="Z22">
        <v>0.584709535321008</v>
      </c>
      <c r="AA22">
        <v>0.558338048203851</v>
      </c>
      <c r="AB22">
        <v>0.5333431307886</v>
      </c>
      <c r="AC22">
        <v>0.509676083235752</v>
      </c>
      <c r="AD22">
        <v>0.487282885229325</v>
      </c>
      <c r="AE22">
        <v>0.466106116647385</v>
      </c>
      <c r="AF22">
        <v>0.446086529539633</v>
      </c>
      <c r="AG22">
        <v>0.427164305983915</v>
      </c>
      <c r="AH22">
        <v>0.409280041278016</v>
      </c>
      <c r="AI22">
        <v>0.392375492755288</v>
      </c>
      <c r="AJ22">
        <v>0.376394132711573</v>
      </c>
      <c r="AK22">
        <v>0.361281540588863</v>
      </c>
      <c r="AL22">
        <v>0.346985665468823</v>
      </c>
      <c r="AM22">
        <v>0.333456985625499</v>
      </c>
      <c r="AN22">
        <v>0.320648587714138</v>
      </c>
      <c r="AO22">
        <v>0.308516184330616</v>
      </c>
      <c r="AP22">
        <v>0.297018085261718</v>
      </c>
      <c r="AQ22" s="3"/>
      <c r="AU22">
        <f t="shared" si="2"/>
        <v>12</v>
      </c>
      <c r="AV22">
        <f t="shared" si="3"/>
        <v>15</v>
      </c>
      <c r="BA22">
        <v>22</v>
      </c>
      <c r="BB22" t="s">
        <v>240</v>
      </c>
    </row>
    <row r="23" spans="1:54">
      <c r="A23" s="1">
        <f t="shared" si="1"/>
        <v>20</v>
      </c>
      <c r="B23">
        <v>1.44405829398979</v>
      </c>
      <c r="C23">
        <v>1.41782146511099</v>
      </c>
      <c r="D23">
        <v>1.3893286234004</v>
      </c>
      <c r="E23">
        <v>1.35869378927243</v>
      </c>
      <c r="F23">
        <v>1.32605752933865</v>
      </c>
      <c r="G23">
        <v>1.29158812776115</v>
      </c>
      <c r="H23">
        <v>1.25548147882516</v>
      </c>
      <c r="I23">
        <v>1.21795947441575</v>
      </c>
      <c r="J23">
        <v>1.17926677413381</v>
      </c>
      <c r="K23">
        <v>1.13966599951237</v>
      </c>
      <c r="L23">
        <v>1.0994315679888</v>
      </c>
      <c r="M23">
        <v>1.05884254884413</v>
      </c>
      <c r="N23">
        <v>1.01817505115495</v>
      </c>
      <c r="O23">
        <v>0.977694716917321</v>
      </c>
      <c r="P23">
        <v>0.937649877499552</v>
      </c>
      <c r="Q23">
        <v>0.898265841743255</v>
      </c>
      <c r="R23">
        <v>0.859740638319175</v>
      </c>
      <c r="S23">
        <v>0.822242362306002</v>
      </c>
      <c r="T23">
        <v>0.785908107259416</v>
      </c>
      <c r="U23">
        <v>0.750844324534724</v>
      </c>
      <c r="V23">
        <v>0.717128356340621</v>
      </c>
      <c r="W23">
        <v>0.684810841760952</v>
      </c>
      <c r="X23">
        <v>0.653918690493616</v>
      </c>
      <c r="Y23">
        <v>0.624458346554801</v>
      </c>
      <c r="Z23">
        <v>0.596419111174979</v>
      </c>
      <c r="AA23">
        <v>0.569776349157294</v>
      </c>
      <c r="AB23">
        <v>0.544494457340275</v>
      </c>
      <c r="AC23">
        <v>0.520529521893964</v>
      </c>
      <c r="AD23">
        <v>0.497831630185687</v>
      </c>
      <c r="AE23">
        <v>0.476346832214335</v>
      </c>
      <c r="AF23">
        <v>0.45601876683922</v>
      </c>
      <c r="AG23">
        <v>0.436789980650565</v>
      </c>
      <c r="AH23">
        <v>0.418602974013992</v>
      </c>
      <c r="AI23">
        <v>0.401401011179658</v>
      </c>
      <c r="AJ23">
        <v>0.385128730765189</v>
      </c>
      <c r="AK23">
        <v>0.369732590507076</v>
      </c>
      <c r="AL23">
        <v>0.355161176756287</v>
      </c>
      <c r="AM23">
        <v>0.341365405356071</v>
      </c>
      <c r="AN23">
        <v>0.328298636672124</v>
      </c>
      <c r="AO23">
        <v>0.31591672388713</v>
      </c>
      <c r="AP23">
        <v>0.304178010355196</v>
      </c>
      <c r="AQ23" s="3"/>
      <c r="AU23">
        <f t="shared" si="2"/>
        <v>12.5</v>
      </c>
      <c r="AV23">
        <f t="shared" si="3"/>
        <v>16</v>
      </c>
      <c r="BA23">
        <v>23</v>
      </c>
      <c r="BB23" t="s">
        <v>241</v>
      </c>
    </row>
    <row r="24" spans="1:54">
      <c r="A24" s="1">
        <f t="shared" si="1"/>
        <v>20.5</v>
      </c>
      <c r="B24">
        <v>1.44711765295978</v>
      </c>
      <c r="C24">
        <v>1.42149668763192</v>
      </c>
      <c r="D24">
        <v>1.39366154998737</v>
      </c>
      <c r="E24">
        <v>1.36371864722566</v>
      </c>
      <c r="F24">
        <v>1.33179940666925</v>
      </c>
      <c r="G24">
        <v>1.29806153945149</v>
      </c>
      <c r="H24">
        <v>1.26268915678525</v>
      </c>
      <c r="I24">
        <v>1.22589151775683</v>
      </c>
      <c r="J24">
        <v>1.18790028377454</v>
      </c>
      <c r="K24">
        <v>1.14896528859422</v>
      </c>
      <c r="L24">
        <v>1.10934898902889</v>
      </c>
      <c r="M24">
        <v>1.06931991635692</v>
      </c>
      <c r="N24">
        <v>1.0291455745205</v>
      </c>
      <c r="O24">
        <v>0.989085303776539</v>
      </c>
      <c r="P24">
        <v>0.949383632572454</v>
      </c>
      <c r="Q24">
        <v>0.910264575248897</v>
      </c>
      <c r="R24">
        <v>0.871927212291755</v>
      </c>
      <c r="S24">
        <v>0.83454273720408</v>
      </c>
      <c r="T24">
        <v>0.798252997262571</v>
      </c>
      <c r="U24">
        <v>0.763170418864547</v>
      </c>
      <c r="V24">
        <v>0.729379108170383</v>
      </c>
      <c r="W24">
        <v>0.696936860735655</v>
      </c>
      <c r="X24">
        <v>0.665877797450653</v>
      </c>
      <c r="Y24">
        <v>0.636215360081221</v>
      </c>
      <c r="Z24">
        <v>0.607945437157187</v>
      </c>
      <c r="AA24">
        <v>0.581049439198403</v>
      </c>
      <c r="AB24">
        <v>0.555497192578105</v>
      </c>
      <c r="AC24">
        <v>0.531249567658434</v>
      </c>
      <c r="AD24">
        <v>0.508260795781677</v>
      </c>
      <c r="AE24">
        <v>0.486480459979393</v>
      </c>
      <c r="AF24">
        <v>0.465855166060251</v>
      </c>
      <c r="AG24">
        <v>0.446329915105221</v>
      </c>
      <c r="AH24">
        <v>0.427849206760846</v>
      </c>
      <c r="AI24">
        <v>0.410357906551263</v>
      </c>
      <c r="AJ24">
        <v>0.393801911059365</v>
      </c>
      <c r="AK24">
        <v>0.378128643359277</v>
      </c>
      <c r="AL24">
        <v>0.363287408369554</v>
      </c>
      <c r="AM24">
        <v>0.349229634462166</v>
      </c>
      <c r="AN24">
        <v>0.335909024136071</v>
      </c>
      <c r="AO24">
        <v>0.323281633123626</v>
      </c>
      <c r="AP24">
        <v>0.311305894107943</v>
      </c>
      <c r="AQ24" s="3"/>
      <c r="AU24">
        <f t="shared" si="2"/>
        <v>13</v>
      </c>
      <c r="AV24">
        <f t="shared" si="3"/>
        <v>17</v>
      </c>
      <c r="BA24">
        <v>24</v>
      </c>
      <c r="BB24" t="s">
        <v>242</v>
      </c>
    </row>
    <row r="25" spans="1:54">
      <c r="A25" s="1">
        <f t="shared" si="1"/>
        <v>21</v>
      </c>
      <c r="B25">
        <v>1.45003349409916</v>
      </c>
      <c r="C25">
        <v>1.42500068294436</v>
      </c>
      <c r="D25">
        <v>1.39779440768828</v>
      </c>
      <c r="E25">
        <v>1.36851411368509</v>
      </c>
      <c r="F25">
        <v>1.33728284440441</v>
      </c>
      <c r="G25">
        <v>1.30424857276607</v>
      </c>
      <c r="H25">
        <v>1.2695845022994</v>
      </c>
      <c r="I25">
        <v>1.23348812407973</v>
      </c>
      <c r="J25">
        <v>1.1961788963285</v>
      </c>
      <c r="K25">
        <v>1.15789452978339</v>
      </c>
      <c r="L25">
        <v>1.11888600151464</v>
      </c>
      <c r="M25">
        <v>1.07941156296983</v>
      </c>
      <c r="N25">
        <v>1.03973013044329</v>
      </c>
      <c r="O25">
        <v>1.00009452485444</v>
      </c>
      <c r="P25">
        <v>0.960745046961574</v>
      </c>
      <c r="Q25">
        <v>0.921903830021051</v>
      </c>
      <c r="R25">
        <v>0.883770313476772</v>
      </c>
      <c r="S25">
        <v>0.846518047902935</v>
      </c>
      <c r="T25">
        <v>0.810292897415984</v>
      </c>
      <c r="U25">
        <v>0.775212574172003</v>
      </c>
      <c r="V25">
        <v>0.741367337300167</v>
      </c>
      <c r="W25">
        <v>0.708821624118632</v>
      </c>
      <c r="X25">
        <v>0.677616354918271</v>
      </c>
      <c r="Y25">
        <v>0.64777165804116</v>
      </c>
      <c r="Z25">
        <v>0.61928979023579</v>
      </c>
      <c r="AA25">
        <v>0.592158068556162</v>
      </c>
      <c r="AB25">
        <v>0.566351675877025</v>
      </c>
      <c r="AC25">
        <v>0.541836246128581</v>
      </c>
      <c r="AD25">
        <v>0.51857017370669</v>
      </c>
      <c r="AE25">
        <v>0.496506622355637</v>
      </c>
      <c r="AF25">
        <v>0.475595231847649</v>
      </c>
      <c r="AG25">
        <v>0.45578353666361</v>
      </c>
      <c r="AH25">
        <v>0.437018120775716</v>
      </c>
      <c r="AI25">
        <v>0.419245537861774</v>
      </c>
      <c r="AJ25">
        <v>0.402413028097414</v>
      </c>
      <c r="AK25">
        <v>0.386469062156847</v>
      </c>
      <c r="AL25">
        <v>0.371363741069405</v>
      </c>
      <c r="AM25">
        <v>0.357049077779189</v>
      </c>
      <c r="AN25">
        <v>0.343479183102897</v>
      </c>
      <c r="AO25">
        <v>0.330610375588704</v>
      </c>
      <c r="AP25">
        <v>0.318401231742299</v>
      </c>
      <c r="AQ25" s="3"/>
      <c r="AU25">
        <f t="shared" si="2"/>
        <v>13.5</v>
      </c>
      <c r="AV25">
        <f t="shared" si="3"/>
        <v>18</v>
      </c>
      <c r="BA25">
        <v>25</v>
      </c>
      <c r="BB25" t="s">
        <v>243</v>
      </c>
    </row>
    <row r="26" spans="1:54">
      <c r="A26" s="1">
        <f t="shared" si="1"/>
        <v>21.5</v>
      </c>
      <c r="B26">
        <v>1.45281563855048</v>
      </c>
      <c r="C26">
        <v>1.42834506441622</v>
      </c>
      <c r="D26">
        <v>1.4017406088914</v>
      </c>
      <c r="E26">
        <v>1.3730953399265</v>
      </c>
      <c r="F26">
        <v>1.34252459830642</v>
      </c>
      <c r="G26">
        <v>1.31016737638612</v>
      </c>
      <c r="H26">
        <v>1.27618677132275</v>
      </c>
      <c r="I26">
        <v>1.24076930693804</v>
      </c>
      <c r="J26">
        <v>1.20412298627833</v>
      </c>
      <c r="K26">
        <v>1.16647403771666</v>
      </c>
      <c r="L26">
        <v>1.12806244181407</v>
      </c>
      <c r="M26">
        <v>1.08913645763221</v>
      </c>
      <c r="N26">
        <v>1.04994648461035</v>
      </c>
      <c r="O26">
        <v>1.01073867826477</v>
      </c>
      <c r="P26">
        <v>0.971748768947176</v>
      </c>
      <c r="Q26">
        <v>0.933196506541563</v>
      </c>
      <c r="R26">
        <v>0.895281075609179</v>
      </c>
      <c r="S26">
        <v>0.858177710401893</v>
      </c>
      <c r="T26">
        <v>0.82203560837432</v>
      </c>
      <c r="U26">
        <v>0.786977115702044</v>
      </c>
      <c r="V26">
        <v>0.7530980558533</v>
      </c>
      <c r="W26">
        <v>0.720469002333891</v>
      </c>
      <c r="X26">
        <v>0.689137261647095</v>
      </c>
      <c r="Y26">
        <v>0.659129328489178</v>
      </c>
      <c r="Z26">
        <v>0.63045359473384</v>
      </c>
      <c r="AA26">
        <v>0.603103128083382</v>
      </c>
      <c r="AB26">
        <v>0.577058377254746</v>
      </c>
      <c r="AC26">
        <v>0.552289701838673</v>
      </c>
      <c r="AD26">
        <v>0.528759662246179</v>
      </c>
      <c r="AE26">
        <v>0.506425036132092</v>
      </c>
      <c r="AF26">
        <v>0.485238551601904</v>
      </c>
      <c r="AG26">
        <v>0.465150344657681</v>
      </c>
      <c r="AH26">
        <v>0.446109159612208</v>
      </c>
      <c r="AI26">
        <v>0.4280633177399</v>
      </c>
      <c r="AJ26">
        <v>0.410961482397623</v>
      </c>
      <c r="AK26">
        <v>0.394753249279734</v>
      </c>
      <c r="AL26">
        <v>0.379389589231688</v>
      </c>
      <c r="AM26">
        <v>0.36482316880524</v>
      </c>
      <c r="AN26">
        <v>0.351008570988084</v>
      </c>
      <c r="AO26">
        <v>0.337902435624512</v>
      </c>
      <c r="AP26">
        <v>0.325463536185693</v>
      </c>
      <c r="AQ26" s="3"/>
      <c r="AU26">
        <f t="shared" si="2"/>
        <v>14</v>
      </c>
      <c r="AV26">
        <f t="shared" si="3"/>
        <v>19</v>
      </c>
      <c r="BA26">
        <v>26</v>
      </c>
      <c r="BB26" t="s">
        <v>244</v>
      </c>
    </row>
    <row r="27" spans="1:54">
      <c r="A27" s="1">
        <f t="shared" si="1"/>
        <v>22</v>
      </c>
      <c r="B27">
        <v>1.45547303532602</v>
      </c>
      <c r="C27">
        <v>1.43154042530419</v>
      </c>
      <c r="D27">
        <v>1.40551240458802</v>
      </c>
      <c r="E27">
        <v>1.37747618915827</v>
      </c>
      <c r="F27">
        <v>1.34754003231758</v>
      </c>
      <c r="G27">
        <v>1.31583463425551</v>
      </c>
      <c r="H27">
        <v>1.28251371959712</v>
      </c>
      <c r="I27">
        <v>1.24775358598653</v>
      </c>
      <c r="J27">
        <v>1.21175148361948</v>
      </c>
      <c r="K27">
        <v>1.17472277288175</v>
      </c>
      <c r="L27">
        <v>1.13689691781633</v>
      </c>
      <c r="M27">
        <v>1.09851249337991</v>
      </c>
      <c r="N27">
        <v>1.05981149599728</v>
      </c>
      <c r="O27">
        <v>1.0210333304343</v>
      </c>
      <c r="P27">
        <v>0.982408885860131</v>
      </c>
      <c r="Q27">
        <v>0.944155102412608</v>
      </c>
      <c r="R27">
        <v>0.906470368925388</v>
      </c>
      <c r="S27">
        <v>0.869530994429539</v>
      </c>
      <c r="T27">
        <v>0.833488878501567</v>
      </c>
      <c r="U27">
        <v>0.798470387969732</v>
      </c>
      <c r="V27">
        <v>0.764576346545674</v>
      </c>
      <c r="W27">
        <v>0.731882970444093</v>
      </c>
      <c r="X27">
        <v>0.700443541049831</v>
      </c>
      <c r="Y27">
        <v>0.670290593322249</v>
      </c>
      <c r="Z27">
        <v>0.641438410023066</v>
      </c>
      <c r="AA27">
        <v>0.613885639348877</v>
      </c>
      <c r="AB27">
        <v>0.587617889537309</v>
      </c>
      <c r="AC27">
        <v>0.562610192161542</v>
      </c>
      <c r="AD27">
        <v>0.538829261607168</v>
      </c>
      <c r="AE27">
        <v>0.516235508939041</v>
      </c>
      <c r="AF27">
        <v>0.494784792842709</v>
      </c>
      <c r="AG27">
        <v>0.474429908496955</v>
      </c>
      <c r="AH27">
        <v>0.455121827716636</v>
      </c>
      <c r="AI27">
        <v>0.436810711452846</v>
      </c>
      <c r="AJ27">
        <v>0.419446719798235</v>
      </c>
      <c r="AK27">
        <v>0.402980646006277</v>
      </c>
      <c r="AL27">
        <v>0.387364400541761</v>
      </c>
      <c r="AM27">
        <v>0.372551369514576</v>
      </c>
      <c r="AN27">
        <v>0.358496669523927</v>
      </c>
      <c r="AO27">
        <v>0.345157318324343</v>
      </c>
      <c r="AP27">
        <v>0.332492338068819</v>
      </c>
      <c r="AQ27" s="3"/>
      <c r="AU27">
        <f t="shared" si="2"/>
        <v>14.5</v>
      </c>
      <c r="AV27">
        <f t="shared" si="3"/>
        <v>20</v>
      </c>
      <c r="BA27">
        <v>27</v>
      </c>
      <c r="BB27" t="s">
        <v>245</v>
      </c>
    </row>
    <row r="28" spans="1:54">
      <c r="A28" s="1">
        <f t="shared" si="1"/>
        <v>22.5</v>
      </c>
      <c r="B28">
        <v>1.45801385559243</v>
      </c>
      <c r="C28">
        <v>1.43459644762872</v>
      </c>
      <c r="D28">
        <v>1.40912100623612</v>
      </c>
      <c r="E28">
        <v>1.38166936872486</v>
      </c>
      <c r="F28">
        <v>1.35234325743623</v>
      </c>
      <c r="G28">
        <v>1.32126570660738</v>
      </c>
      <c r="H28">
        <v>1.28858174076214</v>
      </c>
      <c r="I28">
        <v>1.25445811700263</v>
      </c>
      <c r="J28">
        <v>1.2190819910189</v>
      </c>
      <c r="K28">
        <v>1.182658442042</v>
      </c>
      <c r="L28">
        <v>1.14540689005439</v>
      </c>
      <c r="M28">
        <v>1.10755654811406</v>
      </c>
      <c r="N28">
        <v>1.06934115779172</v>
      </c>
      <c r="O28">
        <v>1.03099333898473</v>
      </c>
      <c r="P28">
        <v>0.992738931698779</v>
      </c>
      <c r="Q28">
        <v>0.95479170801151</v>
      </c>
      <c r="R28">
        <v>0.917348787260023</v>
      </c>
      <c r="S28">
        <v>0.880587005140076</v>
      </c>
      <c r="T28">
        <v>0.844660382845825</v>
      </c>
      <c r="U28">
        <v>0.809698733100787</v>
      </c>
      <c r="V28">
        <v>0.775807341877006</v>
      </c>
      <c r="W28">
        <v>0.743067589135405</v>
      </c>
      <c r="X28">
        <v>0.711538324479889</v>
      </c>
      <c r="Y28">
        <v>0.681257794021025</v>
      </c>
      <c r="Z28">
        <v>0.65224591867018</v>
      </c>
      <c r="AA28">
        <v>0.624506744992728</v>
      </c>
      <c r="AB28">
        <v>0.598030920656102</v>
      </c>
      <c r="AC28">
        <v>0.572798081256596</v>
      </c>
      <c r="AD28">
        <v>0.548779069233592</v>
      </c>
      <c r="AE28">
        <v>0.525937935671751</v>
      </c>
      <c r="AF28">
        <v>0.504233700515239</v>
      </c>
      <c r="AG28">
        <v>0.483621865666866</v>
      </c>
      <c r="AH28">
        <v>0.464055688961831</v>
      </c>
      <c r="AI28">
        <v>0.445487235849449</v>
      </c>
      <c r="AJ28">
        <v>0.427868230709993</v>
      </c>
      <c r="AK28">
        <v>0.41115073199708</v>
      </c>
      <c r="AL28">
        <v>0.395287655649427</v>
      </c>
      <c r="AM28">
        <v>0.380233170137553</v>
      </c>
      <c r="AN28">
        <v>0.365942984629659</v>
      </c>
      <c r="AO28">
        <v>0.352374549466793</v>
      </c>
      <c r="AP28">
        <v>0.339487185704419</v>
      </c>
      <c r="AQ28" s="3"/>
      <c r="AU28">
        <f t="shared" si="2"/>
        <v>15</v>
      </c>
      <c r="AV28">
        <f t="shared" si="3"/>
        <v>21</v>
      </c>
      <c r="BA28">
        <v>28</v>
      </c>
      <c r="BB28" t="s">
        <v>246</v>
      </c>
    </row>
    <row r="29" spans="1:54">
      <c r="A29" s="1">
        <f t="shared" si="1"/>
        <v>23</v>
      </c>
      <c r="B29">
        <v>1.460445575035</v>
      </c>
      <c r="C29">
        <v>1.43752199748625</v>
      </c>
      <c r="D29">
        <v>1.41257669274119</v>
      </c>
      <c r="E29">
        <v>1.38568654658032</v>
      </c>
      <c r="F29">
        <v>1.35694725462107</v>
      </c>
      <c r="G29">
        <v>1.32647475547246</v>
      </c>
      <c r="H29">
        <v>1.29440599011925</v>
      </c>
      <c r="I29">
        <v>1.26089880939057</v>
      </c>
      <c r="J29">
        <v>1.22613089080323</v>
      </c>
      <c r="K29">
        <v>1.19029759114511</v>
      </c>
      <c r="L29">
        <v>1.15360874802805</v>
      </c>
      <c r="M29">
        <v>1.1162845431168</v>
      </c>
      <c r="N29">
        <v>1.07855063821317</v>
      </c>
      <c r="O29">
        <v>1.04063287716598</v>
      </c>
      <c r="P29">
        <v>1.00275189740369</v>
      </c>
      <c r="Q29">
        <v>0.96511800539156</v>
      </c>
      <c r="R29">
        <v>0.927926638543159</v>
      </c>
      <c r="S29">
        <v>0.89135466804419</v>
      </c>
      <c r="T29">
        <v>0.855557704979213</v>
      </c>
      <c r="U29">
        <v>0.820668471567546</v>
      </c>
      <c r="V29">
        <v>0.786796205226777</v>
      </c>
      <c r="W29">
        <v>0.754026987148434</v>
      </c>
      <c r="X29">
        <v>0.722424835559291</v>
      </c>
      <c r="Y29">
        <v>0.692033378116942</v>
      </c>
      <c r="Z29">
        <v>0.662877915058238</v>
      </c>
      <c r="AA29">
        <v>0.634967699370613</v>
      </c>
      <c r="AB29">
        <v>0.608298286101853</v>
      </c>
      <c r="AC29">
        <v>0.582853834085056</v>
      </c>
      <c r="AD29">
        <v>0.558609275130921</v>
      </c>
      <c r="AE29">
        <v>0.535532294888495</v>
      </c>
      <c r="AF29">
        <v>0.513585094251663</v>
      </c>
      <c r="AG29">
        <v>0.492725919673881</v>
      </c>
      <c r="AH29">
        <v>0.472910365125988</v>
      </c>
      <c r="AI29">
        <v>0.454092458250619</v>
      </c>
      <c r="AJ29">
        <v>0.436225549320404</v>
      </c>
      <c r="AK29">
        <v>0.419263024735996</v>
      </c>
      <c r="AL29">
        <v>0.403158867786584</v>
      </c>
      <c r="AM29">
        <v>0.38786808890868</v>
      </c>
      <c r="AN29">
        <v>0.373347046254593</v>
      </c>
      <c r="AO29">
        <v>0.359553675427323</v>
      </c>
      <c r="AP29">
        <v>0.346447645047244</v>
      </c>
      <c r="AQ29" s="3"/>
      <c r="AU29">
        <f t="shared" si="2"/>
        <v>15.5</v>
      </c>
      <c r="AV29">
        <f t="shared" si="3"/>
        <v>22</v>
      </c>
      <c r="BA29">
        <v>29</v>
      </c>
      <c r="BB29" t="s">
        <v>247</v>
      </c>
    </row>
    <row r="30" spans="1:54">
      <c r="A30" s="1">
        <f t="shared" si="1"/>
        <v>23.5</v>
      </c>
      <c r="B30">
        <v>1.46277504601604</v>
      </c>
      <c r="C30">
        <v>1.44032520871707</v>
      </c>
      <c r="D30">
        <v>1.41588890461157</v>
      </c>
      <c r="E30">
        <v>1.38953845414092</v>
      </c>
      <c r="F30">
        <v>1.3613639837797</v>
      </c>
      <c r="G30">
        <v>1.33147485655922</v>
      </c>
      <c r="H30">
        <v>1.30000049566721</v>
      </c>
      <c r="I30">
        <v>1.26709043243281</v>
      </c>
      <c r="J30">
        <v>1.23291344263866</v>
      </c>
      <c r="K30">
        <v>1.19765569116992</v>
      </c>
      <c r="L30">
        <v>1.16151788181065</v>
      </c>
      <c r="M30">
        <v>1.12471149908869</v>
      </c>
      <c r="N30">
        <v>1.08745432080645</v>
      </c>
      <c r="O30">
        <v>1.04996545930687</v>
      </c>
      <c r="P30">
        <v>1.01246024322961</v>
      </c>
      <c r="Q30">
        <v>0.975145269905906</v>
      </c>
      <c r="R30">
        <v>0.938213938253249</v>
      </c>
      <c r="S30">
        <v>0.901842716825511</v>
      </c>
      <c r="T30">
        <v>0.866188321450021</v>
      </c>
      <c r="U30">
        <v>0.831385885152257</v>
      </c>
      <c r="V30">
        <v>0.797548113754792</v>
      </c>
      <c r="W30">
        <v>0.764765345105326</v>
      </c>
      <c r="X30">
        <v>0.733106375540005</v>
      </c>
      <c r="Y30">
        <v>0.702619886390368</v>
      </c>
      <c r="Z30">
        <v>0.673336294499625</v>
      </c>
      <c r="AA30">
        <v>0.645269859508647</v>
      </c>
      <c r="AB30">
        <v>0.618420901557718</v>
      </c>
      <c r="AC30">
        <v>0.592778010512948</v>
      </c>
      <c r="AD30">
        <v>0.568320157217934</v>
      </c>
      <c r="AE30">
        <v>0.545018645197759</v>
      </c>
      <c r="AF30">
        <v>0.522838865599897</v>
      </c>
      <c r="AG30">
        <v>0.501741837946818</v>
      </c>
      <c r="AH30">
        <v>0.481685534323808</v>
      </c>
      <c r="AI30">
        <v>0.462625995292581</v>
      </c>
      <c r="AJ30">
        <v>0.444518252753851</v>
      </c>
      <c r="AK30">
        <v>0.427317078931272</v>
      </c>
      <c r="AL30">
        <v>0.410977582349826</v>
      </c>
      <c r="AM30">
        <v>0.395455671784383</v>
      </c>
      <c r="AN30">
        <v>0.380708408195466</v>
      </c>
      <c r="AO30">
        <v>0.366694263068047</v>
      </c>
      <c r="AP30">
        <v>0.353373299635798</v>
      </c>
      <c r="AQ30" s="3"/>
      <c r="AU30">
        <f t="shared" si="2"/>
        <v>16</v>
      </c>
      <c r="AV30">
        <f t="shared" si="3"/>
        <v>23</v>
      </c>
      <c r="BA30">
        <v>30</v>
      </c>
      <c r="BB30" t="s">
        <v>248</v>
      </c>
    </row>
    <row r="31" spans="1:54">
      <c r="A31" s="1">
        <f t="shared" si="1"/>
        <v>24</v>
      </c>
      <c r="B31">
        <v>1.46500856096696</v>
      </c>
      <c r="C31">
        <v>1.44301355654498</v>
      </c>
      <c r="D31">
        <v>1.41906632703055</v>
      </c>
      <c r="E31">
        <v>1.39323497731405</v>
      </c>
      <c r="F31">
        <v>1.36560448060756</v>
      </c>
      <c r="G31">
        <v>1.33627809914779</v>
      </c>
      <c r="H31">
        <v>1.3053782578377</v>
      </c>
      <c r="I31">
        <v>1.27304671142925</v>
      </c>
      <c r="J31">
        <v>1.23944387270887</v>
      </c>
      <c r="K31">
        <v>1.20474721737193</v>
      </c>
      <c r="L31">
        <v>1.16914874907802</v>
      </c>
      <c r="M31">
        <v>1.13285158957795</v>
      </c>
      <c r="N31">
        <v>1.09606584388497</v>
      </c>
      <c r="O31">
        <v>1.05900396684509</v>
      </c>
      <c r="P31">
        <v>1.02187591273636</v>
      </c>
      <c r="Q31">
        <v>0.98488437409509</v>
      </c>
      <c r="R31">
        <v>0.948220405424437</v>
      </c>
      <c r="S31">
        <v>0.9120596837195</v>
      </c>
      <c r="T31">
        <v>0.876559588606161</v>
      </c>
      <c r="U31">
        <v>0.84185720197203</v>
      </c>
      <c r="V31">
        <v>0.808068243003015</v>
      </c>
      <c r="W31">
        <v>0.77528688067713</v>
      </c>
      <c r="X31">
        <v>0.743586309676097</v>
      </c>
      <c r="Y31">
        <v>0.713019940798581</v>
      </c>
      <c r="Z31">
        <v>0.683623042851869</v>
      </c>
      <c r="AA31">
        <v>0.655414676385852</v>
      </c>
      <c r="AB31">
        <v>0.628399775730424</v>
      </c>
      <c r="AC31">
        <v>0.602571259520113</v>
      </c>
      <c r="AD31">
        <v>0.577912076721933</v>
      </c>
      <c r="AE31">
        <v>0.55439712164842</v>
      </c>
      <c r="AF31">
        <v>0.531994975230855</v>
      </c>
      <c r="AG31">
        <v>0.510669449703348</v>
      </c>
      <c r="AH31">
        <v>0.490380929396943</v>
      </c>
      <c r="AI31">
        <v>0.471087511728292</v>
      </c>
      <c r="AJ31">
        <v>0.452745960191608</v>
      </c>
      <c r="AK31">
        <v>0.435312485879904</v>
      </c>
      <c r="AL31">
        <v>0.41874337645025</v>
      </c>
      <c r="AM31">
        <v>0.40299549213216</v>
      </c>
      <c r="AN31">
        <v>0.388026647889188</v>
      </c>
      <c r="AO31">
        <v>0.373795899606626</v>
      </c>
      <c r="AP31">
        <v>0.360263750516478</v>
      </c>
      <c r="AQ31" s="3"/>
      <c r="AU31">
        <f t="shared" si="2"/>
        <v>16.5</v>
      </c>
      <c r="AV31">
        <f t="shared" si="3"/>
        <v>24</v>
      </c>
      <c r="BA31">
        <v>31</v>
      </c>
      <c r="BB31" t="s">
        <v>249</v>
      </c>
    </row>
    <row r="32" spans="1:54">
      <c r="A32" s="1">
        <f t="shared" si="1"/>
        <v>24.5</v>
      </c>
      <c r="B32">
        <v>1.46715190822716</v>
      </c>
      <c r="C32">
        <v>1.44559392255548</v>
      </c>
      <c r="D32">
        <v>1.42211696332439</v>
      </c>
      <c r="E32">
        <v>1.39678523723869</v>
      </c>
      <c r="F32">
        <v>1.36967894279796</v>
      </c>
      <c r="G32">
        <v>1.34089567542608</v>
      </c>
      <c r="H32">
        <v>1.3105513391904</v>
      </c>
      <c r="I32">
        <v>1.27878041475068</v>
      </c>
      <c r="J32">
        <v>1.2457354551403</v>
      </c>
      <c r="K32">
        <v>1.21158572238327</v>
      </c>
      <c r="L32">
        <v>1.17651493773589</v>
      </c>
      <c r="M32">
        <v>1.14071819173903</v>
      </c>
      <c r="N32">
        <v>1.10439813888093</v>
      </c>
      <c r="O32">
        <v>1.06776067457997</v>
      </c>
      <c r="P32">
        <v>1.03101034799306</v>
      </c>
      <c r="Q32">
        <v>0.994345793436513</v>
      </c>
      <c r="R32">
        <v>0.95795546084809</v>
      </c>
      <c r="S32">
        <v>0.922013892157333</v>
      </c>
      <c r="T32">
        <v>0.88667873156219</v>
      </c>
      <c r="U32">
        <v>0.852088583404048</v>
      </c>
      <c r="V32">
        <v>0.818361753093941</v>
      </c>
      <c r="W32">
        <v>0.785595835031075</v>
      </c>
      <c r="X32">
        <v>0.753868054578516</v>
      </c>
      <c r="Y32">
        <v>0.723236233126937</v>
      </c>
      <c r="Z32">
        <v>0.693740226642627</v>
      </c>
      <c r="AA32">
        <v>0.665403686557501</v>
      </c>
      <c r="AB32">
        <v>0.638236003395365</v>
      </c>
      <c r="AC32">
        <v>0.612234313531267</v>
      </c>
      <c r="AD32">
        <v>0.587385473632115</v>
      </c>
      <c r="AE32">
        <v>0.563667932135674</v>
      </c>
      <c r="AF32">
        <v>0.54105345013485</v>
      </c>
      <c r="AG32">
        <v>0.519508643790251</v>
      </c>
      <c r="AH32">
        <v>0.498996336270503</v>
      </c>
      <c r="AI32">
        <v>0.479476719192282</v>
      </c>
      <c r="AJ32">
        <v>0.460908331955773</v>
      </c>
      <c r="AK32">
        <v>0.443248872798202</v>
      </c>
      <c r="AL32">
        <v>0.426455858432714</v>
      </c>
      <c r="AM32">
        <v>0.410487150392764</v>
      </c>
      <c r="AN32">
        <v>0.395301366182199</v>
      </c>
      <c r="AO32">
        <v>0.380858192465145</v>
      </c>
      <c r="AP32">
        <v>0.367118616150766</v>
      </c>
      <c r="AQ32" s="3"/>
      <c r="AU32">
        <f t="shared" si="2"/>
        <v>17</v>
      </c>
      <c r="AV32">
        <f t="shared" si="3"/>
        <v>25</v>
      </c>
      <c r="BA32">
        <v>32</v>
      </c>
      <c r="BB32" t="s">
        <v>250</v>
      </c>
    </row>
    <row r="33" spans="1:54">
      <c r="A33" s="1">
        <f t="shared" si="1"/>
        <v>25</v>
      </c>
      <c r="B33">
        <v>1.46921042135524</v>
      </c>
      <c r="C33">
        <v>1.44807265217135</v>
      </c>
      <c r="D33">
        <v>1.42504820008646</v>
      </c>
      <c r="E33">
        <v>1.40019766205188</v>
      </c>
      <c r="F33">
        <v>1.37359680693466</v>
      </c>
      <c r="G33">
        <v>1.34533796051184</v>
      </c>
      <c r="H33">
        <v>1.31553094517879</v>
      </c>
      <c r="I33">
        <v>1.28430343272793</v>
      </c>
      <c r="J33">
        <v>1.25180058636611</v>
      </c>
      <c r="K33">
        <v>1.21818390361029</v>
      </c>
      <c r="L33">
        <v>1.18362922434715</v>
      </c>
      <c r="M33">
        <v>1.14832393440918</v>
      </c>
      <c r="N33">
        <v>1.11246346742532</v>
      </c>
      <c r="O33">
        <v>1.07624727686115</v>
      </c>
      <c r="P33">
        <v>1.03987450565359</v>
      </c>
      <c r="Q33">
        <v>1.00353961360622</v>
      </c>
      <c r="R33">
        <v>0.967428227146772</v>
      </c>
      <c r="S33">
        <v>0.931713451402479</v>
      </c>
      <c r="T33">
        <v>0.896552835096161</v>
      </c>
      <c r="U33">
        <v>0.862086112755227</v>
      </c>
      <c r="V33">
        <v>0.828433776420826</v>
      </c>
      <c r="W33">
        <v>0.795696460494349</v>
      </c>
      <c r="X33">
        <v>0.763955066519886</v>
      </c>
      <c r="Y33">
        <v>0.733271514351802</v>
      </c>
      <c r="Z33">
        <v>0.703689983705908</v>
      </c>
      <c r="AA33">
        <v>0.675238504128955</v>
      </c>
      <c r="AB33">
        <v>0.647930758668775</v>
      </c>
      <c r="AC33">
        <v>0.621767982883053</v>
      </c>
      <c r="AD33">
        <v>0.596740862224327</v>
      </c>
      <c r="AE33">
        <v>0.572831353834394</v>
      </c>
      <c r="AF33">
        <v>0.550014380817014</v>
      </c>
      <c r="AG33">
        <v>0.528259366505542</v>
      </c>
      <c r="AH33">
        <v>0.507531592282107</v>
      </c>
      <c r="AI33">
        <v>0.487793374933968</v>
      </c>
      <c r="AJ33">
        <v>0.469005068561001</v>
      </c>
      <c r="AK33">
        <v>0.451125902121543</v>
      </c>
      <c r="AL33">
        <v>0.434114667366785</v>
      </c>
      <c r="AM33">
        <v>0.417930273717089</v>
      </c>
      <c r="AN33">
        <v>0.402532187077683</v>
      </c>
      <c r="AO33">
        <v>0.387880769099883</v>
      </c>
      <c r="AP33">
        <v>0.3739375323061</v>
      </c>
      <c r="AQ33" s="3"/>
      <c r="AU33">
        <f t="shared" si="2"/>
        <v>17.5</v>
      </c>
      <c r="AV33">
        <f t="shared" si="3"/>
        <v>26</v>
      </c>
      <c r="BA33">
        <v>33</v>
      </c>
      <c r="BB33" t="s">
        <v>251</v>
      </c>
    </row>
    <row r="34" spans="1:54">
      <c r="A34" s="1">
        <f t="shared" si="1"/>
        <v>25.5</v>
      </c>
      <c r="B34">
        <v>1.47118902278281</v>
      </c>
      <c r="C34">
        <v>1.45045560561186</v>
      </c>
      <c r="D34">
        <v>1.42786686503355</v>
      </c>
      <c r="E34">
        <v>1.40348005081031</v>
      </c>
      <c r="F34">
        <v>1.37736681720091</v>
      </c>
      <c r="G34">
        <v>1.34961458424514</v>
      </c>
      <c r="H34">
        <v>1.3203274969669</v>
      </c>
      <c r="I34">
        <v>1.2896268492031</v>
      </c>
      <c r="J34">
        <v>1.25765085306436</v>
      </c>
      <c r="K34">
        <v>1.22455366535401</v>
      </c>
      <c r="L34">
        <v>1.19050362857504</v>
      </c>
      <c r="M34">
        <v>1.15568074353134</v>
      </c>
      <c r="N34">
        <v>1.12027345703511</v>
      </c>
      <c r="O34">
        <v>1.08447491348429</v>
      </c>
      <c r="P34">
        <v>1.04847887361628</v>
      </c>
      <c r="Q34">
        <v>1.01247553895007</v>
      </c>
      <c r="R34">
        <v>0.976647530434507</v>
      </c>
      <c r="S34">
        <v>0.941166252931979</v>
      </c>
      <c r="T34">
        <v>0.906188836276945</v>
      </c>
      <c r="U34">
        <v>0.8718557855272</v>
      </c>
      <c r="V34">
        <v>0.838289406726439</v>
      </c>
      <c r="W34">
        <v>0.805593009369076</v>
      </c>
      <c r="X34">
        <v>0.773850830653164</v>
      </c>
      <c r="Y34">
        <v>0.743128584699898</v>
      </c>
      <c r="Z34">
        <v>0.713474514327782</v>
      </c>
      <c r="AA34">
        <v>0.684920813086354</v>
      </c>
      <c r="AB34">
        <v>0.657485288517444</v>
      </c>
      <c r="AC34">
        <v>0.631173150439004</v>
      </c>
      <c r="AD34">
        <v>0.605978826668932</v>
      </c>
      <c r="AE34">
        <v>0.581887729670616</v>
      </c>
      <c r="AF34">
        <v>0.558877918500971</v>
      </c>
      <c r="AG34">
        <v>0.536921619410111</v>
      </c>
      <c r="AH34">
        <v>0.515986584489658</v>
      </c>
      <c r="AI34">
        <v>0.496037280524357</v>
      </c>
      <c r="AJ34">
        <v>0.47703590973787</v>
      </c>
      <c r="AK34">
        <v>0.458943270776228</v>
      </c>
      <c r="AL34">
        <v>0.441719472511576</v>
      </c>
      <c r="AM34">
        <v>0.425324515579421</v>
      </c>
      <c r="AN34">
        <v>0.409718757461853</v>
      </c>
      <c r="AO34">
        <v>0.394863276812879</v>
      </c>
      <c r="AP34">
        <v>0.380720151931124</v>
      </c>
      <c r="AQ34" s="3"/>
      <c r="AU34">
        <f t="shared" si="2"/>
        <v>18</v>
      </c>
      <c r="AV34">
        <f t="shared" si="3"/>
        <v>27</v>
      </c>
      <c r="BA34">
        <v>34</v>
      </c>
      <c r="BB34" t="s">
        <v>252</v>
      </c>
    </row>
    <row r="35" spans="1:54">
      <c r="A35" s="1">
        <f t="shared" si="1"/>
        <v>26</v>
      </c>
      <c r="B35">
        <v>1.47309226255118</v>
      </c>
      <c r="C35">
        <v>1.45274820317706</v>
      </c>
      <c r="D35">
        <v>1.43057927851609</v>
      </c>
      <c r="E35">
        <v>1.4066396305379</v>
      </c>
      <c r="F35">
        <v>1.38099708688631</v>
      </c>
      <c r="G35">
        <v>1.35373449569819</v>
      </c>
      <c r="H35">
        <v>1.32495069716201</v>
      </c>
      <c r="I35">
        <v>1.29476100648327</v>
      </c>
      <c r="J35">
        <v>1.26329709425205</v>
      </c>
      <c r="K35">
        <v>1.230706176057</v>
      </c>
      <c r="L35">
        <v>1.19714946386559</v>
      </c>
      <c r="M35">
        <v>1.1627998849808</v>
      </c>
      <c r="N35">
        <v>1.12783913532743</v>
      </c>
      <c r="O35">
        <v>1.09245419511457</v>
      </c>
      <c r="P35">
        <v>1.05683348802885</v>
      </c>
      <c r="Q35">
        <v>1.02116290190307</v>
      </c>
      <c r="R35">
        <v>0.98562190330992</v>
      </c>
      <c r="S35">
        <v>0.95037996833757</v>
      </c>
      <c r="T35">
        <v>0.91559351863704</v>
      </c>
      <c r="U35">
        <v>0.881403501134905</v>
      </c>
      <c r="V35">
        <v>0.847933689469348</v>
      </c>
      <c r="W35">
        <v>0.815289723832286</v>
      </c>
      <c r="X35">
        <v>0.783558851105406</v>
      </c>
      <c r="Y35">
        <v>0.752810284385377</v>
      </c>
      <c r="Z35">
        <v>0.72309607289655</v>
      </c>
      <c r="AA35">
        <v>0.694452359987583</v>
      </c>
      <c r="AB35">
        <v>0.666900906514012</v>
      </c>
      <c r="AC35">
        <v>0.640450766362454</v>
      </c>
      <c r="AD35">
        <v>0.615100016732143</v>
      </c>
      <c r="AE35">
        <v>0.590837464840794</v>
      </c>
      <c r="AF35">
        <v>0.567644272349249</v>
      </c>
      <c r="AG35">
        <v>0.545495457136056</v>
      </c>
      <c r="AH35">
        <v>0.524361247963726</v>
      </c>
      <c r="AI35">
        <v>0.504208280540834</v>
      </c>
      <c r="AJ35">
        <v>0.485000633431555</v>
      </c>
      <c r="AK35">
        <v>0.466700709426315</v>
      </c>
      <c r="AL35">
        <v>0.449269972756682</v>
      </c>
      <c r="AM35">
        <v>0.432669555368705</v>
      </c>
      <c r="AN35">
        <v>0.416860746810573</v>
      </c>
      <c r="AO35">
        <v>0.401805382546218</v>
      </c>
      <c r="AP35">
        <v>0.387466145015974</v>
      </c>
      <c r="AQ35" s="3"/>
      <c r="AU35">
        <f t="shared" si="2"/>
        <v>18.5</v>
      </c>
      <c r="AV35">
        <f t="shared" si="3"/>
        <v>28</v>
      </c>
      <c r="BA35">
        <v>35</v>
      </c>
      <c r="BB35" t="s">
        <v>253</v>
      </c>
    </row>
    <row r="36" spans="1:54">
      <c r="A36" s="1">
        <f t="shared" si="1"/>
        <v>26.5</v>
      </c>
      <c r="B36">
        <v>1.4749243527633</v>
      </c>
      <c r="C36">
        <v>1.45495546557744</v>
      </c>
      <c r="D36">
        <v>1.43319129947389</v>
      </c>
      <c r="E36">
        <v>1.40968310723773</v>
      </c>
      <c r="F36">
        <v>1.38449515354364</v>
      </c>
      <c r="G36">
        <v>1.35770602123027</v>
      </c>
      <c r="H36">
        <v>1.32940958922737</v>
      </c>
      <c r="I36">
        <v>1.29971556435916</v>
      </c>
      <c r="J36">
        <v>1.26874945806602</v>
      </c>
      <c r="K36">
        <v>1.23665192105716</v>
      </c>
      <c r="L36">
        <v>1.20357738459415</v>
      </c>
      <c r="M36">
        <v>1.16969200487451</v>
      </c>
      <c r="N36">
        <v>1.13517096271594</v>
      </c>
      <c r="O36">
        <v>1.10019522809931</v>
      </c>
      <c r="P36">
        <v>1.06494795044104</v>
      </c>
      <c r="Q36">
        <v>1.02961067313253</v>
      </c>
      <c r="R36">
        <v>0.994359588958682</v>
      </c>
      <c r="S36">
        <v>0.959362048543651</v>
      </c>
      <c r="T36">
        <v>0.924773507720179</v>
      </c>
      <c r="U36">
        <v>0.890735055944883</v>
      </c>
      <c r="V36">
        <v>0.857371613379848</v>
      </c>
      <c r="W36">
        <v>0.82479082685466</v>
      </c>
      <c r="X36">
        <v>0.793082641906023</v>
      </c>
      <c r="Y36">
        <v>0.762319485003284</v>
      </c>
      <c r="Z36">
        <v>0.732556960049478</v>
      </c>
      <c r="AA36">
        <v>0.703834947014308</v>
      </c>
      <c r="AB36">
        <v>0.676178986843696</v>
      </c>
      <c r="AC36">
        <v>0.64960184305566</v>
      </c>
      <c r="AD36">
        <v>0.624105143579789</v>
      </c>
      <c r="AE36">
        <v>0.599681023387507</v>
      </c>
      <c r="AF36">
        <v>0.576313706708237</v>
      </c>
      <c r="AG36">
        <v>0.553980985198426</v>
      </c>
      <c r="AH36">
        <v>0.532655564070105</v>
      </c>
      <c r="AI36">
        <v>0.512306261234542</v>
      </c>
      <c r="AJ36">
        <v>0.492899054779409</v>
      </c>
      <c r="AK36">
        <v>0.474397981698208</v>
      </c>
      <c r="AL36">
        <v>0.456765896041351</v>
      </c>
      <c r="AM36">
        <v>0.439965097959477</v>
      </c>
      <c r="AN36">
        <v>0.423957846877527</v>
      </c>
      <c r="AO36">
        <v>0.408706772659976</v>
      </c>
      <c r="AP36">
        <v>0.394175198438302</v>
      </c>
      <c r="AQ36" s="3"/>
      <c r="AU36">
        <f t="shared" si="2"/>
        <v>19</v>
      </c>
      <c r="AV36">
        <f t="shared" si="3"/>
        <v>29</v>
      </c>
      <c r="BA36">
        <v>36</v>
      </c>
      <c r="BB36" t="s">
        <v>254</v>
      </c>
    </row>
    <row r="37" spans="1:54">
      <c r="A37" s="1">
        <f t="shared" si="1"/>
        <v>27</v>
      </c>
      <c r="B37">
        <v>1.47668919829194</v>
      </c>
      <c r="C37">
        <v>1.45708204992697</v>
      </c>
      <c r="D37">
        <v>1.43570836651896</v>
      </c>
      <c r="E37">
        <v>1.41261671159247</v>
      </c>
      <c r="F37">
        <v>1.38786802853602</v>
      </c>
      <c r="G37">
        <v>1.36153691681271</v>
      </c>
      <c r="H37">
        <v>1.3337126112502</v>
      </c>
      <c r="I37">
        <v>1.3044995537819</v>
      </c>
      <c r="J37">
        <v>1.2740174537145</v>
      </c>
      <c r="K37">
        <v>1.24240075120464</v>
      </c>
      <c r="L37">
        <v>1.20979742989819</v>
      </c>
      <c r="M37">
        <v>1.17636716745673</v>
      </c>
      <c r="N37">
        <v>1.14227886357162</v>
      </c>
      <c r="O37">
        <v>1.10770763856551</v>
      </c>
      <c r="P37">
        <v>1.07283144494235</v>
      </c>
      <c r="Q37">
        <v>1.0378274722134</v>
      </c>
      <c r="R37">
        <v>1.00286854616888</v>
      </c>
      <c r="S37">
        <v>0.968119724159546</v>
      </c>
      <c r="T37">
        <v>0.933735267846846</v>
      </c>
      <c r="U37">
        <v>0.899856137507603</v>
      </c>
      <c r="V37">
        <v>0.866608103111414</v>
      </c>
      <c r="W37">
        <v>0.8341005140725</v>
      </c>
      <c r="X37">
        <v>0.802425718707745</v>
      </c>
      <c r="Y37">
        <v>0.771659081555911</v>
      </c>
      <c r="Z37">
        <v>0.741859515305788</v>
      </c>
      <c r="AA37">
        <v>0.71307042538355</v>
      </c>
      <c r="AB37">
        <v>0.685320958566223</v>
      </c>
      <c r="AC37">
        <v>0.658627450271743</v>
      </c>
      <c r="AD37">
        <v>0.632994975691233</v>
      </c>
      <c r="AE37">
        <v>0.608418924839336</v>
      </c>
      <c r="AF37">
        <v>0.584886538384825</v>
      </c>
      <c r="AG37">
        <v>0.562378357816587</v>
      </c>
      <c r="AH37">
        <v>0.540869558747803</v>
      </c>
      <c r="AI37">
        <v>0.520331149184665</v>
      </c>
      <c r="AJ37">
        <v>0.500731025070882</v>
      </c>
      <c r="AK37">
        <v>0.482034883385731</v>
      </c>
      <c r="AL37">
        <v>0.464206998754005</v>
      </c>
      <c r="AM37">
        <v>0.447210873264065</v>
      </c>
      <c r="AN37">
        <v>0.431009771365195</v>
      </c>
      <c r="AO37">
        <v>0.41556715269473</v>
      </c>
      <c r="AP37">
        <v>0.400847015795723</v>
      </c>
      <c r="AQ37" s="3"/>
      <c r="AU37">
        <f t="shared" si="2"/>
        <v>19.5</v>
      </c>
      <c r="AV37">
        <f t="shared" si="3"/>
        <v>30</v>
      </c>
      <c r="BA37">
        <v>37</v>
      </c>
      <c r="BB37" t="s">
        <v>255</v>
      </c>
    </row>
    <row r="38" spans="1:54">
      <c r="A38" s="1">
        <f t="shared" si="1"/>
        <v>27.5</v>
      </c>
      <c r="B38">
        <v>1.47839042420901</v>
      </c>
      <c r="C38">
        <v>1.45913228193167</v>
      </c>
      <c r="D38">
        <v>1.43813553473357</v>
      </c>
      <c r="E38">
        <v>1.41544623998146</v>
      </c>
      <c r="F38">
        <v>1.39112224161952</v>
      </c>
      <c r="G38">
        <v>1.36523441525937</v>
      </c>
      <c r="H38">
        <v>1.33786764466197</v>
      </c>
      <c r="I38">
        <v>1.30912142572835</v>
      </c>
      <c r="J38">
        <v>1.27910999903873</v>
      </c>
      <c r="K38">
        <v>1.24796192767356</v>
      </c>
      <c r="L38">
        <v>1.2158190644127</v>
      </c>
      <c r="M38">
        <v>1.18283489066517</v>
      </c>
      <c r="N38">
        <v>1.14917225585189</v>
      </c>
      <c r="O38">
        <v>1.11500059572623</v>
      </c>
      <c r="P38">
        <v>1.08049275515358</v>
      </c>
      <c r="Q38">
        <v>1.04582157867298</v>
      </c>
      <c r="R38">
        <v>1.01115645508741</v>
      </c>
      <c r="S38">
        <v>0.97666000680252</v>
      </c>
      <c r="T38">
        <v>0.942485099954146</v>
      </c>
      <c r="U38">
        <v>0.908772319866295</v>
      </c>
      <c r="V38">
        <v>0.875648012897703</v>
      </c>
      <c r="W38">
        <v>0.843222946548628</v>
      </c>
      <c r="X38">
        <v>0.811591591257863</v>
      </c>
      <c r="Y38">
        <v>0.780831985086966</v>
      </c>
      <c r="Z38">
        <v>0.751006110173573</v>
      </c>
      <c r="AA38">
        <v>0.722160689115232</v>
      </c>
      <c r="AB38">
        <v>0.694328300134945</v>
      </c>
      <c r="AC38">
        <v>0.667528710404536</v>
      </c>
      <c r="AD38">
        <v>0.641770334889943</v>
      </c>
      <c r="AE38">
        <v>0.617051740921729</v>
      </c>
      <c r="AF38">
        <v>0.593363133961169</v>
      </c>
      <c r="AG38">
        <v>0.570687775750995</v>
      </c>
      <c r="AH38">
        <v>0.549003300787386</v>
      </c>
      <c r="AI38">
        <v>0.528282909943697</v>
      </c>
      <c r="AJ38">
        <v>0.508496430693104</v>
      </c>
      <c r="AK38">
        <v>0.489611241638318</v>
      </c>
      <c r="AL38">
        <v>0.471593065114183</v>
      </c>
      <c r="AM38">
        <v>0.454406635767676</v>
      </c>
      <c r="AN38">
        <v>0.438016255579837</v>
      </c>
      <c r="AO38">
        <v>0.422386247119579</v>
      </c>
      <c r="AP38">
        <v>0.407481317225391</v>
      </c>
      <c r="AQ38" s="3"/>
      <c r="AU38">
        <f t="shared" si="2"/>
        <v>20</v>
      </c>
      <c r="AV38">
        <f t="shared" si="3"/>
        <v>31</v>
      </c>
      <c r="BA38">
        <v>38</v>
      </c>
      <c r="BB38" t="s">
        <v>256</v>
      </c>
    </row>
    <row r="39" spans="1:54">
      <c r="A39" s="1">
        <f t="shared" si="1"/>
        <v>28</v>
      </c>
      <c r="B39">
        <v>1.48003140033612</v>
      </c>
      <c r="C39">
        <v>1.46111018473247</v>
      </c>
      <c r="D39">
        <v>1.44047750869286</v>
      </c>
      <c r="E39">
        <v>1.41817709135951</v>
      </c>
      <c r="F39">
        <v>1.39426388112419</v>
      </c>
      <c r="G39">
        <v>1.36880526892089</v>
      </c>
      <c r="H39">
        <v>1.34188205843977</v>
      </c>
      <c r="I39">
        <v>1.31358909572969</v>
      </c>
      <c r="J39">
        <v>1.28403546408422</v>
      </c>
      <c r="K39">
        <v>1.25334416327664</v>
      </c>
      <c r="L39">
        <v>1.2216512161169</v>
      </c>
      <c r="M39">
        <v>1.18910417948729</v>
      </c>
      <c r="N39">
        <v>1.15586007921869</v>
      </c>
      <c r="O39">
        <v>1.12208283434307</v>
      </c>
      <c r="P39">
        <v>1.08794028096569</v>
      </c>
      <c r="Q39">
        <v>1.05360094326704</v>
      </c>
      <c r="R39">
        <v>1.01923072356749</v>
      </c>
      <c r="S39">
        <v>0.984989691245561</v>
      </c>
      <c r="T39">
        <v>0.951029140379193</v>
      </c>
      <c r="U39">
        <v>0.917489059833035</v>
      </c>
      <c r="V39">
        <v>0.884496121129623</v>
      </c>
      <c r="W39">
        <v>0.852162244359663</v>
      </c>
      <c r="X39">
        <v>0.82058375657725</v>
      </c>
      <c r="Y39">
        <v>0.789841115897255</v>
      </c>
      <c r="Z39">
        <v>0.759999141716622</v>
      </c>
      <c r="AA39">
        <v>0.731107669150351</v>
      </c>
      <c r="AB39">
        <v>0.703202534173465</v>
      </c>
      <c r="AC39">
        <v>0.676306793960009</v>
      </c>
      <c r="AD39">
        <v>0.650432092496072</v>
      </c>
      <c r="AE39">
        <v>0.625580092344779</v>
      </c>
      <c r="AF39">
        <v>0.601743907153405</v>
      </c>
      <c r="AG39">
        <v>0.57890948416065</v>
      </c>
      <c r="AH39">
        <v>0.55705690011428</v>
      </c>
      <c r="AI39">
        <v>0.536161546677567</v>
      </c>
      <c r="AJ39">
        <v>0.516195192065302</v>
      </c>
      <c r="AK39">
        <v>0.497126914134865</v>
      </c>
      <c r="AL39">
        <v>0.478923906538913</v>
      </c>
      <c r="AM39">
        <v>0.461552164047929</v>
      </c>
      <c r="AN39">
        <v>0.444977056071708</v>
      </c>
      <c r="AO39">
        <v>0.429163799066602</v>
      </c>
      <c r="AP39">
        <v>0.414077839211399</v>
      </c>
      <c r="AQ39" s="3"/>
      <c r="AU39">
        <f t="shared" si="2"/>
        <v>20.5</v>
      </c>
      <c r="AV39">
        <f t="shared" si="3"/>
        <v>32</v>
      </c>
      <c r="BA39">
        <v>39</v>
      </c>
      <c r="BB39" t="s">
        <v>257</v>
      </c>
    </row>
    <row r="40" spans="1:54">
      <c r="A40" s="1">
        <f t="shared" si="1"/>
        <v>28.5</v>
      </c>
      <c r="B40">
        <v>1.48161526326169</v>
      </c>
      <c r="C40">
        <v>1.46301950479971</v>
      </c>
      <c r="D40">
        <v>1.44273867215332</v>
      </c>
      <c r="E40">
        <v>1.42081430047223</v>
      </c>
      <c r="F40">
        <v>1.39729863022571</v>
      </c>
      <c r="G40">
        <v>1.3722557883335</v>
      </c>
      <c r="H40">
        <v>1.34576274925715</v>
      </c>
      <c r="I40">
        <v>1.3179099844881</v>
      </c>
      <c r="J40">
        <v>1.28880171104344</v>
      </c>
      <c r="K40">
        <v>1.25855566056739</v>
      </c>
      <c r="L40">
        <v>1.22730231149134</v>
      </c>
      <c r="M40">
        <v>1.19518355721997</v>
      </c>
      <c r="N40">
        <v>1.16235082167869</v>
      </c>
      <c r="O40">
        <v>1.12896267631102</v>
      </c>
      <c r="P40">
        <v>1.09518205494257</v>
      </c>
      <c r="Q40">
        <v>1.06117319937191</v>
      </c>
      <c r="R40">
        <v>1.02709849397718</v>
      </c>
      <c r="S40">
        <v>0.993115358260031</v>
      </c>
      <c r="T40">
        <v>0.959373360467141</v>
      </c>
      <c r="U40">
        <v>0.926011694130816</v>
      </c>
      <c r="V40">
        <v>0.893157125771687</v>
      </c>
      <c r="W40">
        <v>0.860922480949196</v>
      </c>
      <c r="X40">
        <v>0.829405692804949</v>
      </c>
      <c r="Y40">
        <v>0.798689397314824</v>
      </c>
      <c r="Z40">
        <v>0.768841026565832</v>
      </c>
      <c r="AA40">
        <v>0.739913327812919</v>
      </c>
      <c r="AB40">
        <v>0.711945222508636</v>
      </c>
      <c r="AC40">
        <v>0.684962915211675</v>
      </c>
      <c r="AD40">
        <v>0.658981165605369</v>
      </c>
      <c r="AE40">
        <v>0.634004645673026</v>
      </c>
      <c r="AF40">
        <v>0.610029316219481</v>
      </c>
      <c r="AG40">
        <v>0.587043770486093</v>
      </c>
      <c r="AH40">
        <v>0.565030506081329</v>
      </c>
      <c r="AI40">
        <v>0.543967098804282</v>
      </c>
      <c r="AJ40">
        <v>0.523827262565072</v>
      </c>
      <c r="AK40">
        <v>0.504581788245708</v>
      </c>
      <c r="AL40">
        <v>0.486199360995467</v>
      </c>
      <c r="AM40">
        <v>0.468647260280374</v>
      </c>
      <c r="AN40">
        <v>0.451891950261693</v>
      </c>
      <c r="AO40">
        <v>0.43589957005265</v>
      </c>
      <c r="AP40">
        <v>0.420636334380706</v>
      </c>
      <c r="AQ40" s="3"/>
      <c r="AU40">
        <f t="shared" si="2"/>
        <v>21</v>
      </c>
      <c r="AV40">
        <f t="shared" si="3"/>
        <v>33</v>
      </c>
      <c r="BA40">
        <v>40</v>
      </c>
      <c r="BB40" t="s">
        <v>258</v>
      </c>
    </row>
    <row r="41" spans="1:54">
      <c r="A41" s="1">
        <f t="shared" si="1"/>
        <v>29</v>
      </c>
      <c r="B41">
        <v>1.48314493612391</v>
      </c>
      <c r="C41">
        <v>1.46486373522334</v>
      </c>
      <c r="D41">
        <v>1.44492311479114</v>
      </c>
      <c r="E41">
        <v>1.42336256782182</v>
      </c>
      <c r="F41">
        <v>1.40023179973894</v>
      </c>
      <c r="G41">
        <v>1.37559187725472</v>
      </c>
      <c r="H41">
        <v>1.3495161779999</v>
      </c>
      <c r="I41">
        <v>1.32209105496188</v>
      </c>
      <c r="J41">
        <v>1.29341613089842</v>
      </c>
      <c r="K41">
        <v>1.2636041469928</v>
      </c>
      <c r="L41">
        <v>1.2327803081748</v>
      </c>
      <c r="M41">
        <v>1.20108109474609</v>
      </c>
      <c r="N41">
        <v>1.1686525447885</v>
      </c>
      <c r="O41">
        <v>1.13564805134735</v>
      </c>
      <c r="P41">
        <v>1.10222575832204</v>
      </c>
      <c r="Q41">
        <v>1.06854567439552</v>
      </c>
      <c r="R41">
        <v>1.03476665035636</v>
      </c>
      <c r="S41">
        <v>1.00104337803804</v>
      </c>
      <c r="T41">
        <v>0.967523566896266</v>
      </c>
      <c r="U41">
        <v>0.93434543730819</v>
      </c>
      <c r="V41">
        <v>0.901635640541605</v>
      </c>
      <c r="W41">
        <v>0.869507678188768</v>
      </c>
      <c r="X41">
        <v>0.83806085366677</v>
      </c>
      <c r="Y41">
        <v>0.807379749992059</v>
      </c>
      <c r="Z41">
        <v>0.777534195358796</v>
      </c>
      <c r="AA41">
        <v>0.748579653607538</v>
      </c>
      <c r="AB41">
        <v>0.720557961457487</v>
      </c>
      <c r="AC41">
        <v>0.693498328041187</v>
      </c>
      <c r="AD41">
        <v>0.667418513497737</v>
      </c>
      <c r="AE41">
        <v>0.642326110281607</v>
      </c>
      <c r="AF41">
        <v>0.618219861420704</v>
      </c>
      <c r="AG41">
        <v>0.595090962362322</v>
      </c>
      <c r="AH41">
        <v>0.572924305774562</v>
      </c>
      <c r="AI41">
        <v>0.551699640634507</v>
      </c>
      <c r="AJ41">
        <v>0.531392627449396</v>
      </c>
      <c r="AK41">
        <v>0.511975780185073</v>
      </c>
      <c r="AL41">
        <v>0.493419292342403</v>
      </c>
      <c r="AM41">
        <v>0.475691749731492</v>
      </c>
      <c r="AN41">
        <v>0.458760736055546</v>
      </c>
      <c r="AO41">
        <v>0.442593339689409</v>
      </c>
      <c r="AP41">
        <v>0.427156571288285</v>
      </c>
      <c r="AQ41" s="3"/>
      <c r="AU41">
        <f t="shared" si="2"/>
        <v>21.5</v>
      </c>
      <c r="AV41">
        <f t="shared" si="3"/>
        <v>34</v>
      </c>
      <c r="BA41">
        <v>41</v>
      </c>
      <c r="BB41" t="s">
        <v>259</v>
      </c>
    </row>
    <row r="42" spans="1:54">
      <c r="A42" s="1">
        <f t="shared" si="1"/>
        <v>29.5</v>
      </c>
      <c r="B42">
        <v>1.48462314641865</v>
      </c>
      <c r="C42">
        <v>1.46664613669841</v>
      </c>
      <c r="D42">
        <v>1.44703465632489</v>
      </c>
      <c r="E42">
        <v>1.42582628674524</v>
      </c>
      <c r="F42">
        <v>1.40306835781156</v>
      </c>
      <c r="G42">
        <v>1.37881906446735</v>
      </c>
      <c r="H42">
        <v>1.35314840301584</v>
      </c>
      <c r="I42">
        <v>1.32613884625946</v>
      </c>
      <c r="J42">
        <v>1.29788567706043</v>
      </c>
      <c r="K42">
        <v>1.26849690733829</v>
      </c>
      <c r="L42">
        <v>1.23809272529946</v>
      </c>
      <c r="M42">
        <v>1.20680443794081</v>
      </c>
      <c r="N42">
        <v>1.17477290747417</v>
      </c>
      <c r="O42">
        <v>1.14214651677881</v>
      </c>
      <c r="P42">
        <v>1.10907873656564</v>
      </c>
      <c r="Q42">
        <v>1.07572540112773</v>
      </c>
      <c r="R42">
        <v>1.04224182582516</v>
      </c>
      <c r="S42">
        <v>1.00877991409277</v>
      </c>
      <c r="T42">
        <v>0.975485402623011</v>
      </c>
      <c r="U42">
        <v>0.942495380340534</v>
      </c>
      <c r="V42">
        <v>0.909936191781893</v>
      </c>
      <c r="W42">
        <v>0.877921802091148</v>
      </c>
      <c r="X42">
        <v>0.84655266352728</v>
      </c>
      <c r="Y42">
        <v>0.81591508670208</v>
      </c>
      <c r="Z42">
        <v>0.786081087590418</v>
      </c>
      <c r="AA42">
        <v>0.757108656343383</v>
      </c>
      <c r="AB42">
        <v>0.729042377364537</v>
      </c>
      <c r="AC42">
        <v>0.701914321964326</v>
      </c>
      <c r="AD42">
        <v>0.675745134177863</v>
      </c>
      <c r="AE42">
        <v>0.650545235402338</v>
      </c>
      <c r="AF42">
        <v>0.626316082541005</v>
      </c>
      <c r="AG42">
        <v>0.603051425565612</v>
      </c>
      <c r="AH42">
        <v>0.580738522335824</v>
      </c>
      <c r="AI42">
        <v>0.5593592800173</v>
      </c>
      <c r="AJ42">
        <v>0.538891302773112</v>
      </c>
      <c r="AK42">
        <v>0.519308834156261</v>
      </c>
      <c r="AL42">
        <v>0.500583589660724</v>
      </c>
      <c r="AM42">
        <v>0.482685480240653</v>
      </c>
      <c r="AN42">
        <v>0.46558323144686</v>
      </c>
      <c r="AO42">
        <v>0.449244905382606</v>
      </c>
      <c r="AP42">
        <v>0.433638334192186</v>
      </c>
      <c r="AQ42" s="3"/>
      <c r="AU42">
        <f t="shared" si="2"/>
        <v>22</v>
      </c>
      <c r="AV42">
        <f t="shared" si="3"/>
        <v>35</v>
      </c>
      <c r="BA42">
        <v>42</v>
      </c>
      <c r="BB42" t="s">
        <v>260</v>
      </c>
    </row>
    <row r="43" spans="1:54">
      <c r="A43" s="1">
        <f t="shared" si="1"/>
        <v>30</v>
      </c>
      <c r="B43">
        <v>1.48605244205827</v>
      </c>
      <c r="C43">
        <v>1.46836975646637</v>
      </c>
      <c r="D43">
        <v>1.4490768683146</v>
      </c>
      <c r="E43">
        <v>1.42820956792166</v>
      </c>
      <c r="F43">
        <v>1.40581295685066</v>
      </c>
      <c r="G43">
        <v>1.38194253268862</v>
      </c>
      <c r="H43">
        <v>1.35666511042638</v>
      </c>
      <c r="I43">
        <v>1.33005950464762</v>
      </c>
      <c r="J43">
        <v>1.30221689627602</v>
      </c>
      <c r="K43">
        <v>1.27324081368733</v>
      </c>
      <c r="L43">
        <v>1.24324667167216</v>
      </c>
      <c r="M43">
        <v>1.21236083331754</v>
      </c>
      <c r="N43">
        <v>1.18071918851931</v>
      </c>
      <c r="O43">
        <v>1.1484652764313</v>
      </c>
      <c r="P43">
        <v>1.11574801442068</v>
      </c>
      <c r="Q43">
        <v>1.08271912896401</v>
      </c>
      <c r="R43">
        <v>1.04953041016087</v>
      </c>
      <c r="S43">
        <v>1.01633092754713</v>
      </c>
      <c r="T43">
        <v>0.983264348359653</v>
      </c>
      <c r="U43">
        <v>0.950466489839198</v>
      </c>
      <c r="V43">
        <v>0.918063215957002</v>
      </c>
      <c r="W43">
        <v>0.88616875912308</v>
      </c>
      <c r="X43">
        <v>0.854884512985757</v>
      </c>
      <c r="Y43">
        <v>0.824298307606881</v>
      </c>
      <c r="Z43">
        <v>0.794484146856838</v>
      </c>
      <c r="AA43">
        <v>0.765502362574523</v>
      </c>
      <c r="AB43">
        <v>0.737400122384943</v>
      </c>
      <c r="AC43">
        <v>0.710212218341582</v>
      </c>
      <c r="AD43">
        <v>0.683962061049515</v>
      </c>
      <c r="AE43">
        <v>0.658662807262616</v>
      </c>
      <c r="AF43">
        <v>0.634318556467389</v>
      </c>
      <c r="AG43">
        <v>0.610925561997774</v>
      </c>
      <c r="AH43">
        <v>0.588473413305624</v>
      </c>
      <c r="AI43">
        <v>0.56694615699399</v>
      </c>
      <c r="AJ43">
        <v>0.546323334307433</v>
      </c>
      <c r="AK43">
        <v>0.526580921491721</v>
      </c>
      <c r="AL43">
        <v>0.507692166576907</v>
      </c>
      <c r="AM43">
        <v>0.489628321692436</v>
      </c>
      <c r="AN43">
        <v>0.472359274109933</v>
      </c>
      <c r="AO43">
        <v>0.455854082021265</v>
      </c>
      <c r="AP43">
        <v>0.440081422819207</v>
      </c>
      <c r="AQ43" s="3"/>
      <c r="AU43">
        <f t="shared" si="2"/>
        <v>22.5</v>
      </c>
      <c r="AV43">
        <f t="shared" si="3"/>
        <v>36</v>
      </c>
      <c r="BA43">
        <v>43</v>
      </c>
      <c r="BB43" t="s">
        <v>261</v>
      </c>
    </row>
    <row r="44" spans="1:54">
      <c r="A44" s="1">
        <f t="shared" si="1"/>
        <v>30.5</v>
      </c>
      <c r="B44">
        <v>1.4874352058779</v>
      </c>
      <c r="C44">
        <v>1.47003744544011</v>
      </c>
      <c r="D44">
        <v>1.45105309389291</v>
      </c>
      <c r="E44">
        <v>1.43051626158729</v>
      </c>
      <c r="F44">
        <v>1.40846995797517</v>
      </c>
      <c r="G44">
        <v>1.38496714488255</v>
      </c>
      <c r="H44">
        <v>1.36007164179199</v>
      </c>
      <c r="I44">
        <v>1.33385881194753</v>
      </c>
      <c r="J44">
        <v>1.3064159570433</v>
      </c>
      <c r="K44">
        <v>1.27784235309979</v>
      </c>
      <c r="L44">
        <v>1.248248871959</v>
      </c>
      <c r="M44">
        <v>1.21775715202062</v>
      </c>
      <c r="N44">
        <v>1.18649830777894</v>
      </c>
      <c r="O44">
        <v>1.15461119863387</v>
      </c>
      <c r="P44">
        <v>1.12224031046901</v>
      </c>
      <c r="Q44">
        <v>1.08953333494911</v>
      </c>
      <c r="R44">
        <v>1.05663855747234</v>
      </c>
      <c r="S44">
        <v>1.02370218173199</v>
      </c>
      <c r="T44">
        <v>0.990865724506247</v>
      </c>
      <c r="U44">
        <v>0.958263607796542</v>
      </c>
      <c r="V44">
        <v>0.926021057714122</v>
      </c>
      <c r="W44">
        <v>0.89425239306752</v>
      </c>
      <c r="X44">
        <v>0.863059754978001</v>
      </c>
      <c r="Y44">
        <v>0.832532295970008</v>
      </c>
      <c r="Z44">
        <v>0.802745816474631</v>
      </c>
      <c r="AA44">
        <v>0.773762811345792</v>
      </c>
      <c r="AB44">
        <v>0.745632870508121</v>
      </c>
      <c r="AC44">
        <v>0.718393366771744</v>
      </c>
      <c r="AD44">
        <v>0.692070359724326</v>
      </c>
      <c r="AE44">
        <v>0.666679646319405</v>
      </c>
      <c r="AF44">
        <v>0.642227894834503</v>
      </c>
      <c r="AG44">
        <v>0.618713807711005</v>
      </c>
      <c r="AH44">
        <v>0.596129268989237</v>
      </c>
      <c r="AI44">
        <v>0.57446044246296</v>
      </c>
      <c r="AJ44">
        <v>0.553688796460911</v>
      </c>
      <c r="AK44">
        <v>0.533792039790064</v>
      </c>
      <c r="AL44">
        <v>0.514744960579511</v>
      </c>
      <c r="AM44">
        <v>0.496520165480696</v>
      </c>
      <c r="AN44">
        <v>0.479088720983595</v>
      </c>
      <c r="AO44">
        <v>0.462420701657863</v>
      </c>
      <c r="AP44">
        <v>0.446485652121842</v>
      </c>
      <c r="AQ44" s="3"/>
      <c r="AU44">
        <f t="shared" si="2"/>
        <v>23</v>
      </c>
      <c r="AV44">
        <f t="shared" si="3"/>
        <v>37</v>
      </c>
      <c r="BA44">
        <v>44</v>
      </c>
      <c r="BB44" t="s">
        <v>262</v>
      </c>
    </row>
    <row r="45" spans="1:54">
      <c r="A45" s="1">
        <f t="shared" si="1"/>
        <v>31</v>
      </c>
      <c r="B45">
        <v>1.48877366876117</v>
      </c>
      <c r="C45">
        <v>1.47165187371199</v>
      </c>
      <c r="D45">
        <v>1.45296646565231</v>
      </c>
      <c r="E45">
        <v>1.43274997770218</v>
      </c>
      <c r="F45">
        <v>1.41104345325252</v>
      </c>
      <c r="G45">
        <v>1.38789746823968</v>
      </c>
      <c r="H45">
        <v>1.36337301939127</v>
      </c>
      <c r="I45">
        <v>1.33754221156408</v>
      </c>
      <c r="J45">
        <v>1.31048867575929</v>
      </c>
      <c r="K45">
        <v>1.28230765319611</v>
      </c>
      <c r="L45">
        <v>1.25310569102</v>
      </c>
      <c r="M45">
        <v>1.22299991226752</v>
      </c>
      <c r="N45">
        <v>1.19211684617778</v>
      </c>
      <c r="O45">
        <v>1.16059083335523</v>
      </c>
      <c r="P45">
        <v>1.12856205114615</v>
      </c>
      <c r="Q45">
        <v>1.09617423459819</v>
      </c>
      <c r="R45">
        <v>1.0635721939118</v>
      </c>
      <c r="S45">
        <v>1.03089924702533</v>
      </c>
      <c r="T45">
        <v>0.998294693466778</v>
      </c>
      <c r="U45">
        <v>0.965891451801295</v>
      </c>
      <c r="V45">
        <v>0.933813968450331</v>
      </c>
      <c r="W45">
        <v>0.90217648238818</v>
      </c>
      <c r="X45">
        <v>0.871081701347415</v>
      </c>
      <c r="Y45">
        <v>0.840619914287026</v>
      </c>
      <c r="Z45">
        <v>0.81086853545707</v>
      </c>
      <c r="AA45">
        <v>0.78189205023291</v>
      </c>
      <c r="AB45">
        <v>0.753742313815755</v>
      </c>
      <c r="AC45">
        <v>0.726459141666157</v>
      </c>
      <c r="AD45">
        <v>0.700071124965224</v>
      </c>
      <c r="AE45">
        <v>0.67459660458996</v>
      </c>
      <c r="AF45">
        <v>0.650044741735806</v>
      </c>
      <c r="AG45">
        <v>0.626416630976102</v>
      </c>
      <c r="AH45">
        <v>0.603706410848817</v>
      </c>
      <c r="AI45">
        <v>0.581902336857913</v>
      </c>
      <c r="AJ45">
        <v>0.560987791205133</v>
      </c>
      <c r="AK45">
        <v>0.540942212051946</v>
      </c>
      <c r="AL45">
        <v>0.521741932330982</v>
      </c>
      <c r="AM45">
        <v>0.503360923965711</v>
      </c>
      <c r="AN45">
        <v>0.485771447847089</v>
      </c>
      <c r="AO45">
        <v>0.468944613180251</v>
      </c>
      <c r="AP45">
        <v>0.452850852027179</v>
      </c>
      <c r="AQ45" s="3"/>
      <c r="AU45">
        <f t="shared" si="2"/>
        <v>23.5</v>
      </c>
      <c r="AV45">
        <f t="shared" si="3"/>
        <v>38</v>
      </c>
      <c r="BA45">
        <v>45</v>
      </c>
      <c r="BB45" t="s">
        <v>263</v>
      </c>
    </row>
    <row r="46" spans="1:54">
      <c r="A46" s="1">
        <f t="shared" si="1"/>
        <v>31.5</v>
      </c>
      <c r="B46">
        <v>1.49006992153594</v>
      </c>
      <c r="C46">
        <v>1.47321554461948</v>
      </c>
      <c r="D46">
        <v>1.45481992188553</v>
      </c>
      <c r="E46">
        <v>1.43491410428427</v>
      </c>
      <c r="F46">
        <v>1.41353728594798</v>
      </c>
      <c r="G46">
        <v>1.39073779605843</v>
      </c>
      <c r="H46">
        <v>1.36657396934584</v>
      </c>
      <c r="I46">
        <v>1.341114832369</v>
      </c>
      <c r="J46">
        <v>1.31444054079816</v>
      </c>
      <c r="K46">
        <v>1.28664250581882</v>
      </c>
      <c r="L46">
        <v>1.25782315653058</v>
      </c>
      <c r="M46">
        <v>1.22809530033869</v>
      </c>
      <c r="N46">
        <v>1.19758106455238</v>
      </c>
      <c r="O46">
        <v>1.16641042849547</v>
      </c>
      <c r="P46">
        <v>1.13471938422179</v>
      </c>
      <c r="Q46">
        <v>1.10264779246147</v>
      </c>
      <c r="R46">
        <v>1.07033702537345</v>
      </c>
      <c r="S46">
        <v>1.0379275058721</v>
      </c>
      <c r="T46">
        <v>1.00555626228707</v>
      </c>
      <c r="U46">
        <v>0.97335461566463</v>
      </c>
      <c r="V46">
        <v>0.94144610533308</v>
      </c>
      <c r="W46">
        <v>0.909944738052041</v>
      </c>
      <c r="X46">
        <v>0.878953619850325</v>
      </c>
      <c r="Y46">
        <v>0.848564000807714</v>
      </c>
      <c r="Z46">
        <v>0.818854734829284</v>
      </c>
      <c r="AA46">
        <v>0.789892131665145</v>
      </c>
      <c r="AB46">
        <v>0.761730158967531</v>
      </c>
      <c r="AC46">
        <v>0.73441093900064</v>
      </c>
      <c r="AD46">
        <v>0.707965477764023</v>
      </c>
      <c r="AE46">
        <v>0.682414563080394</v>
      </c>
      <c r="AF46">
        <v>0.657769771503312</v>
      </c>
      <c r="AG46">
        <v>0.634034530396425</v>
      </c>
      <c r="AH46">
        <v>0.611205189923999</v>
      </c>
      <c r="AI46">
        <v>0.589272068841951</v>
      </c>
      <c r="AJ46">
        <v>0.56822044700725</v>
      </c>
      <c r="AK46">
        <v>0.548031485816682</v>
      </c>
      <c r="AL46">
        <v>0.528683064976199</v>
      </c>
      <c r="AM46">
        <v>0.51015052992567</v>
      </c>
      <c r="AN46">
        <v>0.492407348889039</v>
      </c>
      <c r="AO46">
        <v>0.475425681976165</v>
      </c>
      <c r="AP46">
        <v>0.459176867178413</v>
      </c>
      <c r="AQ46" s="3"/>
      <c r="AU46">
        <f t="shared" si="2"/>
        <v>24</v>
      </c>
      <c r="AV46">
        <f t="shared" si="3"/>
        <v>39</v>
      </c>
      <c r="BA46">
        <v>46</v>
      </c>
      <c r="BB46" t="s">
        <v>264</v>
      </c>
    </row>
    <row r="47" spans="1:54">
      <c r="A47" s="1">
        <f t="shared" si="1"/>
        <v>32</v>
      </c>
      <c r="B47">
        <v>1.49132592577215</v>
      </c>
      <c r="C47">
        <v>1.47473080752232</v>
      </c>
      <c r="D47">
        <v>1.45661622135243</v>
      </c>
      <c r="E47">
        <v>1.43701182410097</v>
      </c>
      <c r="F47">
        <v>1.41595506898894</v>
      </c>
      <c r="G47">
        <v>1.39349216773632</v>
      </c>
      <c r="H47">
        <v>1.36967894279796</v>
      </c>
      <c r="I47">
        <v>1.34458151063581</v>
      </c>
      <c r="J47">
        <v>1.31827673470162</v>
      </c>
      <c r="K47">
        <v>1.29085238892815</v>
      </c>
      <c r="L47">
        <v>1.26240698001677</v>
      </c>
      <c r="M47">
        <v>1.23304919020891</v>
      </c>
      <c r="N47">
        <v>1.20289692139618</v>
      </c>
      <c r="O47">
        <v>1.17207594535908</v>
      </c>
      <c r="P47">
        <v>1.14071819173903</v>
      </c>
      <c r="Q47">
        <v>1.10895973240666</v>
      </c>
      <c r="R47">
        <v>1.07693854513642</v>
      </c>
      <c r="S47">
        <v>1.04479215793293</v>
      </c>
      <c r="T47">
        <v>1.01265528555884</v>
      </c>
      <c r="U47">
        <v>0.980657570402979</v>
      </c>
      <c r="V47">
        <v>0.948921530725193</v>
      </c>
      <c r="W47">
        <v>0.917560801768298</v>
      </c>
      <c r="X47">
        <v>0.88667873156219</v>
      </c>
      <c r="Y47">
        <v>0.856367366424676</v>
      </c>
      <c r="Z47">
        <v>0.826706834264224</v>
      </c>
      <c r="AA47">
        <v>0.797765109518585</v>
      </c>
      <c r="AB47">
        <v>0.76959812390747</v>
      </c>
      <c r="AC47">
        <v>0.742250173241544</v>
      </c>
      <c r="AD47">
        <v>0.715754562552142</v>
      </c>
      <c r="AE47">
        <v>0.690134429312703</v>
      </c>
      <c r="AF47">
        <v>0.665403686557501</v>
      </c>
      <c r="AG47">
        <v>0.641568033069681</v>
      </c>
      <c r="AH47">
        <v>0.618625985283191</v>
      </c>
      <c r="AI47">
        <v>0.59656989401962</v>
      </c>
      <c r="AJ47">
        <v>0.575386917771315</v>
      </c>
      <c r="AK47">
        <v>0.555059932301285</v>
      </c>
      <c r="AL47">
        <v>0.535568363449241</v>
      </c>
      <c r="AM47">
        <v>0.516888936003762</v>
      </c>
      <c r="AN47">
        <v>0.498996336270503</v>
      </c>
      <c r="AO47">
        <v>0.481863789591145</v>
      </c>
      <c r="AP47">
        <v>0.465463556669618</v>
      </c>
      <c r="AQ47" s="3"/>
      <c r="AU47">
        <f t="shared" si="2"/>
        <v>24.5</v>
      </c>
      <c r="AV47">
        <f t="shared" si="3"/>
        <v>40</v>
      </c>
      <c r="BA47">
        <v>47</v>
      </c>
      <c r="BB47" t="s">
        <v>265</v>
      </c>
    </row>
    <row r="48" spans="1:54">
      <c r="A48" s="1">
        <f t="shared" si="1"/>
        <v>32.5</v>
      </c>
      <c r="B48">
        <v>1.49254352359786</v>
      </c>
      <c r="C48">
        <v>1.47619986942603</v>
      </c>
      <c r="D48">
        <v>1.45835795672628</v>
      </c>
      <c r="E48">
        <v>1.43904612988597</v>
      </c>
      <c r="F48">
        <v>1.41830020182312</v>
      </c>
      <c r="G48">
        <v>1.39616438705633</v>
      </c>
      <c r="H48">
        <v>1.37269213532598</v>
      </c>
      <c r="I48">
        <v>1.34794681020476</v>
      </c>
      <c r="J48">
        <v>1.32200215464552</v>
      </c>
      <c r="K48">
        <v>1.29494248687564</v>
      </c>
      <c r="L48">
        <v>1.26686257642222</v>
      </c>
      <c r="M48">
        <v>1.23786716190861</v>
      </c>
      <c r="N48">
        <v>1.20807008956549</v>
      </c>
      <c r="O48">
        <v>1.17759307333804</v>
      </c>
      <c r="P48">
        <v>1.14656410241451</v>
      </c>
      <c r="Q48">
        <v>1.11511554759976</v>
      </c>
      <c r="R48">
        <v>1.08338204141677</v>
      </c>
      <c r="S48">
        <v>1.05149822531647</v>
      </c>
      <c r="T48">
        <v>1.01959646854075</v>
      </c>
      <c r="U48">
        <v>0.987804665528747</v>
      </c>
      <c r="V48">
        <v>0.956244211969454</v>
      </c>
      <c r="W48">
        <v>0.925028244604945</v>
      </c>
      <c r="X48">
        <v>0.894260208653017</v>
      </c>
      <c r="Y48">
        <v>0.864032791903905</v>
      </c>
      <c r="Z48">
        <v>0.834427239021677</v>
      </c>
      <c r="AA48">
        <v>0.805513035967894</v>
      </c>
      <c r="AB48">
        <v>0.777347934783354</v>
      </c>
      <c r="AC48">
        <v>0.749978274441917</v>
      </c>
      <c r="AD48">
        <v>0.723439544542951</v>
      </c>
      <c r="AE48">
        <v>0.6977571349504</v>
      </c>
      <c r="AF48">
        <v>0.672947215328567</v>
      </c>
      <c r="AG48">
        <v>0.649017692799241</v>
      </c>
      <c r="AH48">
        <v>0.6259692025075</v>
      </c>
      <c r="AI48">
        <v>0.603796093668865</v>
      </c>
      <c r="AJ48">
        <v>0.582487381790235</v>
      </c>
      <c r="AK48">
        <v>0.562027645543585</v>
      </c>
      <c r="AL48">
        <v>0.542397853779779</v>
      </c>
      <c r="AM48">
        <v>0.523576114152012</v>
      </c>
      <c r="AN48">
        <v>0.505538339683107</v>
      </c>
      <c r="AO48">
        <v>0.488258833380647</v>
      </c>
      <c r="AP48">
        <v>0.471710793774407</v>
      </c>
      <c r="AQ48" s="3"/>
      <c r="AU48">
        <f t="shared" si="2"/>
        <v>25</v>
      </c>
      <c r="AV48">
        <f t="shared" si="3"/>
        <v>41</v>
      </c>
      <c r="BA48">
        <v>48</v>
      </c>
      <c r="BB48" t="s">
        <v>266</v>
      </c>
    </row>
    <row r="49" spans="1:54">
      <c r="A49" s="1">
        <f t="shared" si="1"/>
        <v>33</v>
      </c>
      <c r="B49">
        <v>1.49372444663607</v>
      </c>
      <c r="C49">
        <v>1.47762480557146</v>
      </c>
      <c r="D49">
        <v>1.46004756685459</v>
      </c>
      <c r="E49">
        <v>1.44101983823048</v>
      </c>
      <c r="F49">
        <v>1.4205758858301</v>
      </c>
      <c r="G49">
        <v>1.39875803893361</v>
      </c>
      <c r="H49">
        <v>1.37561750476355</v>
      </c>
      <c r="I49">
        <v>1.35121504103799</v>
      </c>
      <c r="J49">
        <v>1.32562143133146</v>
      </c>
      <c r="K49">
        <v>1.298917709187</v>
      </c>
      <c r="L49">
        <v>1.27119508231611</v>
      </c>
      <c r="M49">
        <v>1.24255451869892</v>
      </c>
      <c r="N49">
        <v>1.21310597200332</v>
      </c>
      <c r="O49">
        <v>1.18296724383512</v>
      </c>
      <c r="P49">
        <v>1.15226250350569</v>
      </c>
      <c r="Q49">
        <v>1.12112051017034</v>
      </c>
      <c r="R49">
        <v>1.08967260479979</v>
      </c>
      <c r="S49">
        <v>1.05805055785677</v>
      </c>
      <c r="T49">
        <v>1.02638437045273</v>
      </c>
      <c r="U49">
        <v>0.994800130604944</v>
      </c>
      <c r="V49">
        <v>0.963418021491639</v>
      </c>
      <c r="W49">
        <v>0.932350565946859</v>
      </c>
      <c r="X49">
        <v>0.90170117250204</v>
      </c>
      <c r="Y49">
        <v>0.871563025433792</v>
      </c>
      <c r="Z49">
        <v>0.842018337172847</v>
      </c>
      <c r="AA49">
        <v>0.81313795858444</v>
      </c>
      <c r="AB49">
        <v>0.784981323071445</v>
      </c>
      <c r="AC49">
        <v>0.757596685503368</v>
      </c>
      <c r="AD49">
        <v>0.73102160720376</v>
      </c>
      <c r="AE49">
        <v>0.705283633522489</v>
      </c>
      <c r="AF49">
        <v>0.680401110249818</v>
      </c>
      <c r="AG49">
        <v>0.656384088356416</v>
      </c>
      <c r="AH49">
        <v>0.633235272208989</v>
      </c>
      <c r="AI49">
        <v>0.610950973494651</v>
      </c>
      <c r="AJ49">
        <v>0.589522040710025</v>
      </c>
      <c r="AK49">
        <v>0.568934741550919</v>
      </c>
      <c r="AL49">
        <v>0.549171582400406</v>
      </c>
      <c r="AM49">
        <v>0.530212055073018</v>
      </c>
      <c r="AN49">
        <v>0.512033305903175</v>
      </c>
      <c r="AO49">
        <v>0.494610726157122</v>
      </c>
      <c r="AP49">
        <v>0.477918465669106</v>
      </c>
      <c r="AQ49" s="3"/>
      <c r="BA49">
        <v>49</v>
      </c>
      <c r="BB49" t="s">
        <v>267</v>
      </c>
    </row>
    <row r="50" spans="1:54">
      <c r="A50" s="1">
        <f t="shared" si="1"/>
        <v>33.5</v>
      </c>
      <c r="B50">
        <v>1.4948703241524</v>
      </c>
      <c r="C50">
        <v>1.47900756909554</v>
      </c>
      <c r="D50">
        <v>1.46168734795421</v>
      </c>
      <c r="E50">
        <v>1.44293560228058</v>
      </c>
      <c r="F50">
        <v>1.42278513842763</v>
      </c>
      <c r="G50">
        <v>1.40127650476965</v>
      </c>
      <c r="H50">
        <v>1.3784587875708</v>
      </c>
      <c r="I50">
        <v>1.35439027630943</v>
      </c>
      <c r="J50">
        <v>1.3291389464383</v>
      </c>
      <c r="K50">
        <v>1.30278270797448</v>
      </c>
      <c r="L50">
        <v>1.27540937284326</v>
      </c>
      <c r="M50">
        <v>1.24711630313945</v>
      </c>
      <c r="N50">
        <v>1.21800971653595</v>
      </c>
      <c r="O50">
        <v>1.18820364345875</v>
      </c>
      <c r="P50">
        <v>1.15781855215485</v>
      </c>
      <c r="Q50">
        <v>1.12697968055232</v>
      </c>
      <c r="R50">
        <v>1.09581513552896</v>
      </c>
      <c r="S50">
        <v>1.06445383840238</v>
      </c>
      <c r="T50">
        <v>1.03302340790543</v>
      </c>
      <c r="U50">
        <v>1.00164807702414</v>
      </c>
      <c r="V50">
        <v>0.970446737184337</v>
      </c>
      <c r="W50">
        <v>0.939531192761824</v>
      </c>
      <c r="X50">
        <v>0.909004692123384</v>
      </c>
      <c r="Y50">
        <v>0.878960780470037</v>
      </c>
      <c r="Z50">
        <v>0.849482497093507</v>
      </c>
      <c r="AA50">
        <v>0.820641917668678</v>
      </c>
      <c r="AB50">
        <v>0.792500022898528</v>
      </c>
      <c r="AC50">
        <v>0.765106859598869</v>
      </c>
      <c r="AD50">
        <v>0.738501949855147</v>
      </c>
      <c r="AE50">
        <v>0.712714898245146</v>
      </c>
      <c r="AF50">
        <v>0.687766145823693</v>
      </c>
      <c r="AG50">
        <v>0.663667821794829</v>
      </c>
      <c r="AH50">
        <v>0.640424648584735</v>
      </c>
      <c r="AI50">
        <v>0.618034862405822</v>
      </c>
      <c r="AJ50">
        <v>0.596491118507888</v>
      </c>
      <c r="AK50">
        <v>0.575781357455823</v>
      </c>
      <c r="AL50">
        <v>0.555889615456168</v>
      </c>
      <c r="AM50">
        <v>0.536796767660649</v>
      </c>
      <c r="AN50">
        <v>0.518481198342762</v>
      </c>
      <c r="AO50">
        <v>0.500919395832798</v>
      </c>
      <c r="AP50">
        <v>0.484086473151047</v>
      </c>
      <c r="AQ50" s="3"/>
      <c r="BA50">
        <v>50</v>
      </c>
      <c r="BB50" t="s">
        <v>268</v>
      </c>
    </row>
    <row r="51" spans="1:54">
      <c r="A51" s="1">
        <f t="shared" si="1"/>
        <v>34</v>
      </c>
      <c r="B51">
        <v>1.49598269049384</v>
      </c>
      <c r="C51">
        <v>1.4803499998568</v>
      </c>
      <c r="D51">
        <v>1.46327946384663</v>
      </c>
      <c r="E51">
        <v>1.44479592335811</v>
      </c>
      <c r="F51">
        <v>1.42493080599881</v>
      </c>
      <c r="G51">
        <v>1.40372297654578</v>
      </c>
      <c r="H51">
        <v>1.38121951389088</v>
      </c>
      <c r="I51">
        <v>1.35747636815962</v>
      </c>
      <c r="J51">
        <v>1.33255884875593</v>
      </c>
      <c r="K51">
        <v>1.30654189408883</v>
      </c>
      <c r="L51">
        <v>1.27951007750985</v>
      </c>
      <c r="M51">
        <v>1.25155731212272</v>
      </c>
      <c r="N51">
        <v>1.22278622979528</v>
      </c>
      <c r="O51">
        <v>1.19330722652135</v>
      </c>
      <c r="P51">
        <v>1.16323718622157</v>
      </c>
      <c r="Q51">
        <v>1.13269791649497</v>
      </c>
      <c r="R51">
        <v>1.10181435063291</v>
      </c>
      <c r="S51">
        <v>1.07071258808894</v>
      </c>
      <c r="T51">
        <v>1.03951785843087</v>
      </c>
      <c r="U51">
        <v>1.00835249997627</v>
      </c>
      <c r="V51">
        <v>0.977334043037186</v>
      </c>
      <c r="W51">
        <v>0.946573479143392</v>
      </c>
      <c r="X51">
        <v>0.916173782876152</v>
      </c>
      <c r="Y51">
        <v>0.886228733854938</v>
      </c>
      <c r="Z51">
        <v>0.856822065209187</v>
      </c>
      <c r="AA51">
        <v>0.828026943804813</v>
      </c>
      <c r="AB51">
        <v>0.799905768553146</v>
      </c>
      <c r="AC51">
        <v>0.772510257751501</v>
      </c>
      <c r="AD51">
        <v>0.745881785394943</v>
      </c>
      <c r="AE51">
        <v>0.72005191994013</v>
      </c>
      <c r="AF51">
        <v>0.695043116760558</v>
      </c>
      <c r="AG51">
        <v>0.670869516817728</v>
      </c>
      <c r="AH51">
        <v>0.647537808007916</v>
      </c>
      <c r="AI51">
        <v>0.625048111316579</v>
      </c>
      <c r="AJ51">
        <v>0.603394860485515</v>
      </c>
      <c r="AK51">
        <v>0.582567650680022</v>
      </c>
      <c r="AL51">
        <v>0.562552038117463</v>
      </c>
      <c r="AM51">
        <v>0.543330278440719</v>
      </c>
      <c r="AN51">
        <v>0.524881996598467</v>
      </c>
      <c r="AO51">
        <v>0.507184785058889</v>
      </c>
      <c r="AP51">
        <v>0.490214730352559</v>
      </c>
      <c r="AQ51" s="3"/>
      <c r="BA51">
        <v>51</v>
      </c>
      <c r="BB51" t="s">
        <v>269</v>
      </c>
    </row>
    <row r="52" spans="1:54">
      <c r="A52" s="1">
        <f t="shared" si="1"/>
        <v>34.5</v>
      </c>
      <c r="B52">
        <v>1.49706299188922</v>
      </c>
      <c r="C52">
        <v>1.48165383250839</v>
      </c>
      <c r="D52">
        <v>1.46482595532788</v>
      </c>
      <c r="E52">
        <v>1.44660316160948</v>
      </c>
      <c r="F52">
        <v>1.42701557575261</v>
      </c>
      <c r="G52">
        <v>1.40610046977368</v>
      </c>
      <c r="H52">
        <v>1.38390302141136</v>
      </c>
      <c r="I52">
        <v>1.36047696223282</v>
      </c>
      <c r="J52">
        <v>1.33588506911255</v>
      </c>
      <c r="K52">
        <v>1.31019945211137</v>
      </c>
      <c r="L52">
        <v>1.28350159489128</v>
      </c>
      <c r="M52">
        <v>1.25588211094488</v>
      </c>
      <c r="N52">
        <v>1.22744019031774</v>
      </c>
      <c r="O52">
        <v>1.19828272687271</v>
      </c>
      <c r="P52">
        <v>1.16852313461771</v>
      </c>
      <c r="Q52">
        <v>1.13827988174208</v>
      </c>
      <c r="R52">
        <v>1.10767479087564</v>
      </c>
      <c r="S52">
        <v>1.07683117157147</v>
      </c>
      <c r="T52">
        <v>1.04587186408499</v>
      </c>
      <c r="U52">
        <v>1.01491728057342</v>
      </c>
      <c r="V52">
        <v>0.984083529982261</v>
      </c>
      <c r="W52">
        <v>0.953480706101824</v>
      </c>
      <c r="X52">
        <v>0.923211405434006</v>
      </c>
      <c r="Y52">
        <v>0.893369524190571</v>
      </c>
      <c r="Z52">
        <v>0.86403936397642</v>
      </c>
      <c r="AA52">
        <v>0.835295055625954</v>
      </c>
      <c r="AB52">
        <v>0.807200292177867</v>
      </c>
      <c r="AC52">
        <v>0.779808346563906</v>
      </c>
      <c r="AD52">
        <v>0.753162338143949</v>
      </c>
      <c r="AE52">
        <v>0.727295705048665</v>
      </c>
      <c r="AF52">
        <v>0.702232836190172</v>
      </c>
      <c r="AG52">
        <v>0.677989817198871</v>
      </c>
      <c r="AH52">
        <v>0.654575247656967</v>
      </c>
      <c r="AI52">
        <v>0.631991091973818</v>
      </c>
      <c r="AJ52">
        <v>0.61023353227888</v>
      </c>
      <c r="AK52">
        <v>0.589293798107929</v>
      </c>
      <c r="AL52">
        <v>0.569158953897403</v>
      </c>
      <c r="AM52">
        <v>0.54981263101262</v>
      </c>
      <c r="AN52">
        <v>0.531235695998838</v>
      </c>
      <c r="AO52">
        <v>0.513406850861927</v>
      </c>
      <c r="AP52">
        <v>0.496303164451245</v>
      </c>
      <c r="AQ52" s="3"/>
      <c r="BA52">
        <v>52</v>
      </c>
      <c r="BB52" t="s">
        <v>270</v>
      </c>
    </row>
    <row r="53" spans="1:54">
      <c r="A53" s="1">
        <f t="shared" si="1"/>
        <v>35</v>
      </c>
      <c r="B53">
        <v>1.49811259267428</v>
      </c>
      <c r="C53">
        <v>1.48292070389221</v>
      </c>
      <c r="D53">
        <v>1.46632874875681</v>
      </c>
      <c r="E53">
        <v>1.44835954577537</v>
      </c>
      <c r="F53">
        <v>1.42904198661819</v>
      </c>
      <c r="G53">
        <v>1.40841183540837</v>
      </c>
      <c r="H53">
        <v>1.38651246813812</v>
      </c>
      <c r="I53">
        <v>1.36339551110265</v>
      </c>
      <c r="J53">
        <v>1.33912133419622</v>
      </c>
      <c r="K53">
        <v>1.31375935427821</v>
      </c>
      <c r="L53">
        <v>1.28738810634197</v>
      </c>
      <c r="M53">
        <v>1.26009504647762</v>
      </c>
      <c r="N53">
        <v>1.23197606086849</v>
      </c>
      <c r="O53">
        <v>1.20313466910029</v>
      </c>
      <c r="P53">
        <v>1.17368092716012</v>
      </c>
      <c r="Q53">
        <v>1.14373005438024</v>
      </c>
      <c r="R53">
        <v>1.11340082751867</v>
      </c>
      <c r="S53">
        <v>1.08281380219602</v>
      </c>
      <c r="T53">
        <v>1.05208943509617</v>
      </c>
      <c r="U53">
        <v>1.02134618810343</v>
      </c>
      <c r="V53">
        <v>0.990698696926198</v>
      </c>
      <c r="W53">
        <v>0.960256081576614</v>
      </c>
      <c r="X53">
        <v>0.930120464990926</v>
      </c>
      <c r="Y53">
        <v>0.900385750446432</v>
      </c>
      <c r="Z53">
        <v>0.87113669008466</v>
      </c>
      <c r="AA53">
        <v>0.84244825777819</v>
      </c>
      <c r="AB53">
        <v>0.81438532163439</v>
      </c>
      <c r="AC53">
        <v>0.78700259609308</v>
      </c>
      <c r="AD53">
        <v>0.760344841810207</v>
      </c>
      <c r="AE53">
        <v>0.734447273739247</v>
      </c>
      <c r="AF53">
        <v>0.709336133945433</v>
      </c>
      <c r="AG53">
        <v>0.68502938525735</v>
      </c>
      <c r="AH53">
        <v>0.661537484183633</v>
      </c>
      <c r="AI53">
        <v>0.63886419581137</v>
      </c>
      <c r="AJ53">
        <v>0.617007418885651</v>
      </c>
      <c r="AK53">
        <v>0.595959995270776</v>
      </c>
      <c r="AL53">
        <v>0.575710483974688</v>
      </c>
      <c r="AM53">
        <v>0.556243885492813</v>
      </c>
      <c r="AN53">
        <v>0.537542307151166</v>
      </c>
      <c r="AO53">
        <v>0.519585564277874</v>
      </c>
      <c r="AP53">
        <v>0.502351715377074</v>
      </c>
      <c r="AQ53" s="3"/>
      <c r="BA53">
        <v>53</v>
      </c>
      <c r="BB53" t="s">
        <v>271</v>
      </c>
    </row>
    <row r="54" spans="1:54">
      <c r="A54" s="1">
        <f t="shared" si="1"/>
        <v>35.5</v>
      </c>
      <c r="B54">
        <v>1.49913278099735</v>
      </c>
      <c r="C54">
        <v>1.48415215981967</v>
      </c>
      <c r="D54">
        <v>1.46778966393645</v>
      </c>
      <c r="E54">
        <v>1.45006718216447</v>
      </c>
      <c r="F54">
        <v>1.43101243926307</v>
      </c>
      <c r="G54">
        <v>1.41065977081852</v>
      </c>
      <c r="H54">
        <v>1.38905084417858</v>
      </c>
      <c r="I54">
        <v>1.36623528668217</v>
      </c>
      <c r="J54">
        <v>1.34227117936254</v>
      </c>
      <c r="K54">
        <v>1.31722537342092</v>
      </c>
      <c r="L54">
        <v>1.29117358878087</v>
      </c>
      <c r="M54">
        <v>1.26420025950211</v>
      </c>
      <c r="N54">
        <v>1.23639810003681</v>
      </c>
      <c r="O54">
        <v>1.20786737912726</v>
      </c>
      <c r="P54">
        <v>1.17871490395731</v>
      </c>
      <c r="Q54">
        <v>1.14905273485898</v>
      </c>
      <c r="R54">
        <v>1.11899666888717</v>
      </c>
      <c r="S54">
        <v>1.08866454709421</v>
      </c>
      <c r="T54">
        <v>1.05817445353756</v>
      </c>
      <c r="U54">
        <v>1.02764288238683</v>
      </c>
      <c r="V54">
        <v>0.997182951943283</v>
      </c>
      <c r="W54">
        <v>0.966902740646169</v>
      </c>
      <c r="X54">
        <v>0.936903810681376</v>
      </c>
      <c r="Y54">
        <v>0.907279970783125</v>
      </c>
      <c r="Z54">
        <v>0.878116312864074</v>
      </c>
      <c r="AA54">
        <v>0.849488539072306</v>
      </c>
      <c r="AB54">
        <v>0.821462578533358</v>
      </c>
      <c r="AC54">
        <v>0.794094477865009</v>
      </c>
      <c r="AD54">
        <v>0.767430537568467</v>
      </c>
      <c r="AE54">
        <v>0.74150765810763</v>
      </c>
      <c r="AF54">
        <v>0.716353854917802</v>
      </c>
      <c r="AG54">
        <v>0.691988900386526</v>
      </c>
      <c r="AH54">
        <v>0.668425052420569</v>
      </c>
      <c r="AI54">
        <v>0.645667832832067</v>
      </c>
      <c r="AJ54">
        <v>0.623716823711246</v>
      </c>
      <c r="AK54">
        <v>0.602566455542379</v>
      </c>
      <c r="AL54">
        <v>0.582206766522914</v>
      </c>
      <c r="AM54">
        <v>0.562624117961049</v>
      </c>
      <c r="AN54">
        <v>0.543801855488416</v>
      </c>
      <c r="AO54">
        <v>0.525720909984666</v>
      </c>
      <c r="AP54">
        <v>0.508360335516858</v>
      </c>
      <c r="AQ54" s="3"/>
      <c r="BA54">
        <v>54</v>
      </c>
      <c r="BB54" t="s">
        <v>272</v>
      </c>
    </row>
    <row r="55" spans="1:54">
      <c r="A55" s="1">
        <f t="shared" si="1"/>
        <v>36</v>
      </c>
      <c r="B55">
        <v>1.50012477405532</v>
      </c>
      <c r="C55">
        <v>1.4853496612975</v>
      </c>
      <c r="D55">
        <v>1.46921042135524</v>
      </c>
      <c r="E55">
        <v>1.45172806290535</v>
      </c>
      <c r="F55">
        <v>1.4329292053154</v>
      </c>
      <c r="G55">
        <v>1.41284682989887</v>
      </c>
      <c r="H55">
        <v>1.39152098262137</v>
      </c>
      <c r="I55">
        <v>1.36899939170505</v>
      </c>
      <c r="J55">
        <v>1.34533796051184</v>
      </c>
      <c r="K55">
        <v>1.32060109500079</v>
      </c>
      <c r="L55">
        <v>1.29486182662073</v>
      </c>
      <c r="M55">
        <v>1.26820169626169</v>
      </c>
      <c r="N55">
        <v>1.24071037314692</v>
      </c>
      <c r="O55">
        <v>1.21248499423872</v>
      </c>
      <c r="P55">
        <v>1.18362922434715</v>
      </c>
      <c r="Q55">
        <v>1.15425205368767</v>
      </c>
      <c r="R55">
        <v>1.12446636673409</v>
      </c>
      <c r="S55">
        <v>1.09438733218675</v>
      </c>
      <c r="T55">
        <v>1.0641306770037</v>
      </c>
      <c r="U55">
        <v>1.03381091621488</v>
      </c>
      <c r="V55">
        <v>1.00353961360622</v>
      </c>
      <c r="W55">
        <v>0.973423745912245</v>
      </c>
      <c r="X55">
        <v>0.943564235194613</v>
      </c>
      <c r="Y55">
        <v>0.914054701574747</v>
      </c>
      <c r="Z55">
        <v>0.884980472885075</v>
      </c>
      <c r="AA55">
        <v>0.856417870812183</v>
      </c>
      <c r="AB55">
        <v>0.828433776420826</v>
      </c>
      <c r="AC55">
        <v>0.80108546302362</v>
      </c>
      <c r="AD55">
        <v>0.774420672251316</v>
      </c>
      <c r="AE55">
        <v>0.748477900467033</v>
      </c>
      <c r="AF55">
        <v>0.723286857483587</v>
      </c>
      <c r="AG55">
        <v>0.698869057637053</v>
      </c>
      <c r="AH55">
        <v>0.675238504128955</v>
      </c>
      <c r="AI55">
        <v>0.652402430518391</v>
      </c>
      <c r="AJ55">
        <v>0.630362067634415</v>
      </c>
      <c r="AK55">
        <v>0.609113409347462</v>
      </c>
      <c r="AL55">
        <v>0.588647956047235</v>
      </c>
      <c r="AM55">
        <v>0.568953419910113</v>
      </c>
      <c r="AN55">
        <v>0.550014380817014</v>
      </c>
      <c r="AO55">
        <v>0.531812885933791</v>
      </c>
      <c r="AP55">
        <v>0.514328989416587</v>
      </c>
      <c r="AQ55" s="3"/>
      <c r="BA55">
        <v>55</v>
      </c>
      <c r="BB55" t="s">
        <v>273</v>
      </c>
    </row>
    <row r="56" spans="1:54">
      <c r="A56" s="1">
        <f t="shared" si="1"/>
        <v>36.5</v>
      </c>
      <c r="B56">
        <v>1.50108972290439</v>
      </c>
      <c r="C56">
        <v>1.48651459025078</v>
      </c>
      <c r="D56">
        <v>1.47059264884776</v>
      </c>
      <c r="E56">
        <v>1.45334407354324</v>
      </c>
      <c r="F56">
        <v>1.43479443586289</v>
      </c>
      <c r="G56">
        <v>1.41497543240148</v>
      </c>
      <c r="H56">
        <v>1.39392556959132</v>
      </c>
      <c r="I56">
        <v>1.37169077035664</v>
      </c>
      <c r="J56">
        <v>1.34832486511169</v>
      </c>
      <c r="K56">
        <v>1.32388992830711</v>
      </c>
      <c r="L56">
        <v>1.29845642290393</v>
      </c>
      <c r="M56">
        <v>1.27210311928636</v>
      </c>
      <c r="N56">
        <v>1.24491676252554</v>
      </c>
      <c r="O56">
        <v>1.21699147256547</v>
      </c>
      <c r="P56">
        <v>1.18842787540293</v>
      </c>
      <c r="Q56">
        <v>1.15933197881523</v>
      </c>
      <c r="R56">
        <v>1.12981382239895</v>
      </c>
      <c r="S56">
        <v>1.09998594708483</v>
      </c>
      <c r="T56">
        <v>1.069961742275</v>
      </c>
      <c r="U56">
        <v>1.0398537378488</v>
      </c>
      <c r="V56">
        <v>1.00977191243355</v>
      </c>
      <c r="W56">
        <v>0.979822088038594</v>
      </c>
      <c r="X56">
        <v>0.950104474564294</v>
      </c>
      <c r="Y56">
        <v>0.920712416613591</v>
      </c>
      <c r="Z56">
        <v>0.891731380736079</v>
      </c>
      <c r="AA56">
        <v>0.86323820528926</v>
      </c>
      <c r="AB56">
        <v>0.835300619113461</v>
      </c>
      <c r="AC56">
        <v>0.807977020608448</v>
      </c>
      <c r="AD56">
        <v>0.781316496648343</v>
      </c>
      <c r="AE56">
        <v>0.755359051726429</v>
      </c>
      <c r="AF56">
        <v>0.730136012000099</v>
      </c>
      <c r="AG56">
        <v>0.705670566353772</v>
      </c>
      <c r="AH56">
        <v>0.681978406786453</v>
      </c>
      <c r="AI56">
        <v>0.65906843277232</v>
      </c>
      <c r="AJ56">
        <v>0.636943488093141</v>
      </c>
      <c r="AK56">
        <v>0.615601103383387</v>
      </c>
      <c r="AL56">
        <v>0.595034222729167</v>
      </c>
      <c r="AM56">
        <v>0.575231897699865</v>
      </c>
      <c r="AN56">
        <v>0.556179936866151</v>
      </c>
      <c r="AO56">
        <v>0.537861502981491</v>
      </c>
      <c r="AP56">
        <v>0.520257653482165</v>
      </c>
      <c r="AQ56" s="3"/>
      <c r="BA56">
        <v>56</v>
      </c>
      <c r="BB56" t="s">
        <v>274</v>
      </c>
    </row>
    <row r="57" spans="1:54">
      <c r="A57" s="1">
        <f t="shared" si="1"/>
        <v>37</v>
      </c>
      <c r="B57">
        <v>1.50202871688523</v>
      </c>
      <c r="C57">
        <v>1.48764825478963</v>
      </c>
      <c r="D57">
        <v>1.47193788772822</v>
      </c>
      <c r="E57">
        <v>1.45491700004095</v>
      </c>
      <c r="F57">
        <v>1.43661016929312</v>
      </c>
      <c r="G57">
        <v>1.41704787255449</v>
      </c>
      <c r="H57">
        <v>1.39626715355075</v>
      </c>
      <c r="I57">
        <v>1.37431221812604</v>
      </c>
      <c r="J57">
        <v>1.35123492243411</v>
      </c>
      <c r="K57">
        <v>1.32709511688429</v>
      </c>
      <c r="L57">
        <v>1.30196080970274</v>
      </c>
      <c r="M57">
        <v>1.27590811753816</v>
      </c>
      <c r="N57">
        <v>1.24902097716556</v>
      </c>
      <c r="O57">
        <v>1.22139060205385</v>
      </c>
      <c r="P57">
        <v>1.19311468002534</v>
      </c>
      <c r="Q57">
        <v>1.1642963227</v>
      </c>
      <c r="R57">
        <v>1.13504279275966</v>
      </c>
      <c r="S57">
        <v>1.10546404988037</v>
      </c>
      <c r="T57">
        <v>1.07567116895564</v>
      </c>
      <c r="U57">
        <v>1.04577469356269</v>
      </c>
      <c r="V57">
        <v>1.01588299243481</v>
      </c>
      <c r="W57">
        <v>0.986100686425018</v>
      </c>
      <c r="X57">
        <v>0.956527208115916</v>
      </c>
      <c r="Y57">
        <v>0.927255546481817</v>
      </c>
      <c r="Z57">
        <v>0.898371215966627</v>
      </c>
      <c r="AA57">
        <v>0.869951474432809</v>
      </c>
      <c r="AB57">
        <v>0.842064799174703</v>
      </c>
      <c r="AC57">
        <v>0.814770615955456</v>
      </c>
      <c r="AD57">
        <v>0.788119263909601</v>
      </c>
      <c r="AE57">
        <v>0.762152169854674</v>
      </c>
      <c r="AF57">
        <v>0.736902199370507</v>
      </c>
      <c r="AG57">
        <v>0.712394148866123</v>
      </c>
      <c r="AH57">
        <v>0.688645342415662</v>
      </c>
      <c r="AI57">
        <v>0.665666298884893</v>
      </c>
      <c r="AJ57">
        <v>0.643461438191535</v>
      </c>
      <c r="AK57">
        <v>0.622029799856022</v>
      </c>
      <c r="AL57">
        <v>0.601365751780303</v>
      </c>
      <c r="AM57">
        <v>0.581459672016269</v>
      </c>
      <c r="AN57">
        <v>0.562298590839263</v>
      </c>
      <c r="AO57">
        <v>0.543866784520159</v>
      </c>
      <c r="AP57">
        <v>0.52614631567899</v>
      </c>
      <c r="AQ57" s="3"/>
      <c r="BA57">
        <v>57</v>
      </c>
      <c r="BB57" t="s">
        <v>275</v>
      </c>
    </row>
    <row r="58" spans="1:54">
      <c r="A58" s="1">
        <f t="shared" si="1"/>
        <v>37.5</v>
      </c>
      <c r="B58">
        <v>1.5029427876981</v>
      </c>
      <c r="C58">
        <v>1.48875189406168</v>
      </c>
      <c r="D58">
        <v>1.4732475984448</v>
      </c>
      <c r="E58">
        <v>1.4564485352378</v>
      </c>
      <c r="F58">
        <v>1.43837833853357</v>
      </c>
      <c r="G58">
        <v>1.41906632703055</v>
      </c>
      <c r="H58">
        <v>1.39854815391132</v>
      </c>
      <c r="I58">
        <v>1.3768663909438</v>
      </c>
      <c r="J58">
        <v>1.35407101307016</v>
      </c>
      <c r="K58">
        <v>1.33021974824702</v>
      </c>
      <c r="L58">
        <v>1.3053782578377</v>
      </c>
      <c r="M58">
        <v>1.27962011592358</v>
      </c>
      <c r="N58">
        <v>1.25302656182286</v>
      </c>
      <c r="O58">
        <v>1.22568600894896</v>
      </c>
      <c r="P58">
        <v>1.19769330463792</v>
      </c>
      <c r="Q58">
        <v>1.16914874907802</v>
      </c>
      <c r="R58">
        <v>1.14015689597706</v>
      </c>
      <c r="S58">
        <v>1.1108251718182</v>
      </c>
      <c r="T58">
        <v>1.08126236307298</v>
      </c>
      <c r="U58">
        <v>1.05157703021472</v>
      </c>
      <c r="V58">
        <v>1.02187591273636</v>
      </c>
      <c r="W58">
        <v>0.992262389999682</v>
      </c>
      <c r="X58">
        <v>0.962835058555901</v>
      </c>
      <c r="Y58">
        <v>0.933686478075667</v>
      </c>
      <c r="Z58">
        <v>0.904902126183662</v>
      </c>
      <c r="AA58">
        <v>0.876559588606161</v>
      </c>
      <c r="AB58">
        <v>0.848727996524301</v>
      </c>
      <c r="AC58">
        <v>0.82146770921548</v>
      </c>
      <c r="AD58">
        <v>0.794830228049571</v>
      </c>
      <c r="AE58">
        <v>0.76885831842806</v>
      </c>
      <c r="AF58">
        <v>0.743586309676097</v>
      </c>
      <c r="AG58">
        <v>0.719040539231542</v>
      </c>
      <c r="AH58">
        <v>0.695239906453098</v>
      </c>
      <c r="AI58">
        <v>0.672196502535843</v>
      </c>
      <c r="AJ58">
        <v>0.649916285828293</v>
      </c>
      <c r="AK58">
        <v>0.628399775730424</v>
      </c>
      <c r="AL58">
        <v>0.607642742805607</v>
      </c>
      <c r="AM58">
        <v>0.587636877336078</v>
      </c>
      <c r="AN58">
        <v>0.568370422968264</v>
      </c>
      <c r="AO58">
        <v>0.549828766110438</v>
      </c>
      <c r="AP58">
        <v>0.531994975230855</v>
      </c>
      <c r="AQ58" s="3"/>
      <c r="BA58">
        <v>58</v>
      </c>
      <c r="BB58" t="s">
        <v>276</v>
      </c>
    </row>
    <row r="59" spans="1:54">
      <c r="A59" s="1">
        <f t="shared" si="1"/>
        <v>38</v>
      </c>
      <c r="B59">
        <v>1.50383291315983</v>
      </c>
      <c r="C59">
        <v>1.48982668272745</v>
      </c>
      <c r="D59">
        <v>1.47452316579767</v>
      </c>
      <c r="E59">
        <v>1.4579402848145</v>
      </c>
      <c r="F59">
        <v>1.44010077774422</v>
      </c>
      <c r="G59">
        <v>1.42103286232087</v>
      </c>
      <c r="H59">
        <v>1.40077086901469</v>
      </c>
      <c r="I59">
        <v>1.3793558136641</v>
      </c>
      <c r="J59">
        <v>1.35683587777958</v>
      </c>
      <c r="K59">
        <v>1.3332667629377</v>
      </c>
      <c r="L59">
        <v>1.30871188596325</v>
      </c>
      <c r="M59">
        <v>1.28324238421577</v>
      </c>
      <c r="N59">
        <v>1.25693690558125</v>
      </c>
      <c r="O59">
        <v>1.22988116581752</v>
      </c>
      <c r="P59">
        <v>1.20216726650335</v>
      </c>
      <c r="Q59">
        <v>1.17389277943841</v>
      </c>
      <c r="R59">
        <v>1.1451596170335</v>
      </c>
      <c r="S59">
        <v>1.11607272184489</v>
      </c>
      <c r="T59">
        <v>1.08673862062821</v>
      </c>
      <c r="U59">
        <v>1.05726389783313</v>
      </c>
      <c r="V59">
        <v>1.02775364927273</v>
      </c>
      <c r="W59">
        <v>0.998309978114043</v>
      </c>
      <c r="X59">
        <v>0.969030592187392</v>
      </c>
      <c r="Y59">
        <v>0.940007554268736</v>
      </c>
      <c r="Z59">
        <v>0.911326226289397</v>
      </c>
      <c r="AA59">
        <v>0.883064435539422</v>
      </c>
      <c r="AB59">
        <v>0.855291877173829</v>
      </c>
      <c r="AC59">
        <v>0.828069753984802</v>
      </c>
      <c r="AD59">
        <v>0.801450642547816</v>
      </c>
      <c r="AE59">
        <v>0.77547856525885</v>
      </c>
      <c r="AF59">
        <v>0.750189240874505</v>
      </c>
      <c r="AG59">
        <v>0.725610482031225</v>
      </c>
      <c r="AH59">
        <v>0.701762706658617</v>
      </c>
      <c r="AI59">
        <v>0.678659530823579</v>
      </c>
      <c r="AJ59">
        <v>0.656308412847203</v>
      </c>
      <c r="AK59">
        <v>0.634711321996917</v>
      </c>
      <c r="AL59">
        <v>0.613865409176921</v>
      </c>
      <c r="AM59">
        <v>0.593763661397765</v>
      </c>
      <c r="AN59">
        <v>0.574395526071112</v>
      </c>
      <c r="AO59">
        <v>0.555747495114541</v>
      </c>
      <c r="AP59">
        <v>0.537803642318605</v>
      </c>
      <c r="AQ59" s="3"/>
      <c r="BA59">
        <v>59</v>
      </c>
      <c r="BB59" t="s">
        <v>277</v>
      </c>
    </row>
    <row r="60" spans="1:54">
      <c r="A60" s="1">
        <f t="shared" si="1"/>
        <v>38.5</v>
      </c>
      <c r="B60">
        <v>1.50470002067107</v>
      </c>
      <c r="C60">
        <v>1.49087373509247</v>
      </c>
      <c r="D60">
        <v>1.4757659037593</v>
      </c>
      <c r="E60">
        <v>1.45939377280731</v>
      </c>
      <c r="F60">
        <v>1.44177922850974</v>
      </c>
      <c r="G60">
        <v>1.4229494415657</v>
      </c>
      <c r="H60">
        <v>1.40293748353455</v>
      </c>
      <c r="I60">
        <v>1.38178288794455</v>
      </c>
      <c r="J60">
        <v>1.35953212572789</v>
      </c>
      <c r="K60">
        <v>1.33623896297613</v>
      </c>
      <c r="L60">
        <v>1.3119646690662</v>
      </c>
      <c r="M60">
        <v>1.2867780454261</v>
      </c>
      <c r="N60">
        <v>1.26075524991821</v>
      </c>
      <c r="O60">
        <v>1.23397939913559</v>
      </c>
      <c r="P60">
        <v>1.20653994067775</v>
      </c>
      <c r="Q60">
        <v>1.17853179921536</v>
      </c>
      <c r="R60">
        <v>1.15005431306754</v>
      </c>
      <c r="S60">
        <v>1.12120999103033</v>
      </c>
      <c r="T60">
        <v>1.09210313108961</v>
      </c>
      <c r="U60">
        <v>1.06283835220525</v>
      </c>
      <c r="V60">
        <v>1.03351909652974</v>
      </c>
      <c r="W60">
        <v>1.00424616152618</v>
      </c>
      <c r="X60">
        <v>0.975116319238974</v>
      </c>
      <c r="Y60">
        <v>0.946221073701704</v>
      </c>
      <c r="Z60">
        <v>0.917645597849818</v>
      </c>
      <c r="AA60">
        <v>0.889467879389605</v>
      </c>
      <c r="AB60">
        <v>0.861758092081043</v>
      </c>
      <c r="AC60">
        <v>0.834578196042484</v>
      </c>
      <c r="AD60">
        <v>0.807981759042456</v>
      </c>
      <c r="AE60">
        <v>0.782013981102208</v>
      </c>
      <c r="AF60">
        <v>0.756711897562398</v>
      </c>
      <c r="AG60">
        <v>0.73210473121747</v>
      </c>
      <c r="AH60">
        <v>0.708214362065054</v>
      </c>
      <c r="AI60">
        <v>0.685055883325675</v>
      </c>
      <c r="AJ60">
        <v>0.662638214210079</v>
      </c>
      <c r="AK60">
        <v>0.640964742953083</v>
      </c>
      <c r="AL60">
        <v>0.620033977417233</v>
      </c>
      <c r="AM60">
        <v>0.599840184679275</v>
      </c>
      <c r="AN60">
        <v>0.580374005113221</v>
      </c>
      <c r="AO60">
        <v>0.561623030331274</v>
      </c>
      <c r="AP60">
        <v>0.543572337778966</v>
      </c>
      <c r="AQ60" s="3"/>
      <c r="BA60">
        <v>60</v>
      </c>
      <c r="BB60" t="s">
        <v>278</v>
      </c>
    </row>
    <row r="61" spans="1:54">
      <c r="A61" s="1">
        <f t="shared" si="1"/>
        <v>39</v>
      </c>
      <c r="B61">
        <v>1.50554499041966</v>
      </c>
      <c r="C61">
        <v>1.49189410892639</v>
      </c>
      <c r="D61">
        <v>1.47697705993208</v>
      </c>
      <c r="E61">
        <v>1.46081044671066</v>
      </c>
      <c r="F61">
        <v>1.44341534557448</v>
      </c>
      <c r="G61">
        <v>1.42481793088682</v>
      </c>
      <c r="H61">
        <v>1.40505007534797</v>
      </c>
      <c r="I61">
        <v>1.38414989957232</v>
      </c>
      <c r="J61">
        <v>1.36216224215859</v>
      </c>
      <c r="K61">
        <v>1.33913901974693</v>
      </c>
      <c r="L61">
        <v>1.3151394464192</v>
      </c>
      <c r="M61">
        <v>1.29023008366243</v>
      </c>
      <c r="N61">
        <v>1.26448469630254</v>
      </c>
      <c r="O61">
        <v>1.23798389646505</v>
      </c>
      <c r="P61">
        <v>1.21081456661964</v>
      </c>
      <c r="Q61">
        <v>1.1830690637062</v>
      </c>
      <c r="R61">
        <v>1.15484421850794</v>
      </c>
      <c r="S61">
        <v>1.12624015685959</v>
      </c>
      <c r="T61">
        <v>1.09735898082158</v>
      </c>
      <c r="U61">
        <v>1.06830335745921</v>
      </c>
      <c r="V61">
        <v>1.03917506932733</v>
      </c>
      <c r="W61">
        <v>1.01007358345958</v>
      </c>
      <c r="X61">
        <v>0.981094694293617</v>
      </c>
      <c r="Y61">
        <v>0.952329290686782</v>
      </c>
      <c r="Z61">
        <v>0.923862288583511</v>
      </c>
      <c r="AA61">
        <v>0.895771759919538</v>
      </c>
      <c r="AB61">
        <v>0.86812827611611</v>
      </c>
      <c r="AC61">
        <v>0.840994472189149</v>
      </c>
      <c r="AD61">
        <v>0.814424826112664</v>
      </c>
      <c r="AE61">
        <v>0.788465638438952</v>
      </c>
      <c r="AF61">
        <v>0.763155189800985</v>
      </c>
      <c r="AG61">
        <v>0.738524049011749</v>
      </c>
      <c r="AH61">
        <v>0.714595501967771</v>
      </c>
      <c r="AI61">
        <v>0.691386071189912</v>
      </c>
      <c r="AJ61">
        <v>0.668906097192436</v>
      </c>
      <c r="AK61">
        <v>0.647160355502097</v>
      </c>
      <c r="AL61">
        <v>0.626148686596224</v>
      </c>
      <c r="AM61">
        <v>0.605866619883102</v>
      </c>
      <c r="AN61">
        <v>0.586305976773225</v>
      </c>
      <c r="AO61">
        <v>0.567455441633193</v>
      </c>
      <c r="AP61">
        <v>0.549301092803947</v>
      </c>
      <c r="AQ61" s="3"/>
      <c r="BA61">
        <v>61</v>
      </c>
      <c r="BB61" t="s">
        <v>279</v>
      </c>
    </row>
    <row r="62" spans="1:54">
      <c r="A62" s="1">
        <f t="shared" si="1"/>
        <v>39.5</v>
      </c>
      <c r="B62">
        <v>1.50636865834315</v>
      </c>
      <c r="C62">
        <v>1.49288880899623</v>
      </c>
      <c r="D62">
        <v>1.47815781967435</v>
      </c>
      <c r="E62">
        <v>1.4621916822033</v>
      </c>
      <c r="F62">
        <v>1.44501070215867</v>
      </c>
      <c r="G62">
        <v>1.42664010526366</v>
      </c>
      <c r="H62">
        <v>1.4071106219193</v>
      </c>
      <c r="I62">
        <v>1.38645902528074</v>
      </c>
      <c r="J62">
        <v>1.36472859554456</v>
      </c>
      <c r="K62">
        <v>1.34196948136677</v>
      </c>
      <c r="L62">
        <v>1.31823892902785</v>
      </c>
      <c r="M62">
        <v>1.29360135150815</v>
      </c>
      <c r="N62">
        <v>1.26812821335267</v>
      </c>
      <c r="O62">
        <v>1.24189771324162</v>
      </c>
      <c r="P62">
        <v>1.21499425446995</v>
      </c>
      <c r="Q62">
        <v>1.18750770372543</v>
      </c>
      <c r="R62">
        <v>1.1595324500107</v>
      </c>
      <c r="S62">
        <v>1.13116628739355</v>
      </c>
      <c r="T62">
        <v>1.10250915644353</v>
      </c>
      <c r="U62">
        <v>1.07366178862964</v>
      </c>
      <c r="V62">
        <v>1.04472430463122</v>
      </c>
      <c r="W62">
        <v>1.01579482072577</v>
      </c>
      <c r="X62">
        <v>0.986968116806181</v>
      </c>
      <c r="Y62">
        <v>0.958334415215936</v>
      </c>
      <c r="Z62">
        <v>0.929978311961086</v>
      </c>
      <c r="AA62">
        <v>0.901977891787292</v>
      </c>
      <c r="AB62">
        <v>0.874404047133074</v>
      </c>
      <c r="AC62">
        <v>0.847320009182044</v>
      </c>
      <c r="AD62">
        <v>0.820781088146341</v>
      </c>
      <c r="AE62">
        <v>0.794834610331459</v>
      </c>
      <c r="AF62">
        <v>0.769520032002656</v>
      </c>
      <c r="AG62">
        <v>0.744869204852549</v>
      </c>
      <c r="AH62">
        <v>0.7209067649537</v>
      </c>
      <c r="AI62">
        <v>0.697650616255868</v>
      </c>
      <c r="AJ62">
        <v>0.675112480602116</v>
      </c>
      <c r="AK62">
        <v>0.653298488467785</v>
      </c>
      <c r="AL62">
        <v>0.632209787737517</v>
      </c>
      <c r="AM62">
        <v>0.611843151429162</v>
      </c>
      <c r="AN62">
        <v>0.592191569013532</v>
      </c>
      <c r="AO62">
        <v>0.573244809606334</v>
      </c>
      <c r="AP62">
        <v>0.5549899486412</v>
      </c>
      <c r="AQ62" s="3"/>
      <c r="BA62">
        <v>62</v>
      </c>
      <c r="BB62" t="s">
        <v>280</v>
      </c>
    </row>
    <row r="63" spans="1:54">
      <c r="A63" s="1">
        <f t="shared" si="1"/>
        <v>40</v>
      </c>
      <c r="B63">
        <v>1.50717181887127</v>
      </c>
      <c r="C63">
        <v>1.49385879033863</v>
      </c>
      <c r="D63">
        <v>1.47930930992339</v>
      </c>
      <c r="E63">
        <v>1.46353878753007</v>
      </c>
      <c r="F63">
        <v>1.44656679489097</v>
      </c>
      <c r="G63">
        <v>1.42841765399069</v>
      </c>
      <c r="H63">
        <v>1.40912100623612</v>
      </c>
      <c r="I63">
        <v>1.38871233909654</v>
      </c>
      <c r="J63">
        <v>1.36723344425831</v>
      </c>
      <c r="K63">
        <v>1.34473277956997</v>
      </c>
      <c r="L63">
        <v>1.32126570660738</v>
      </c>
      <c r="M63">
        <v>1.29689457695432</v>
      </c>
      <c r="N63">
        <v>1.27168864358299</v>
      </c>
      <c r="O63">
        <v>1.24572377919629</v>
      </c>
      <c r="P63">
        <v>1.2190819910189</v>
      </c>
      <c r="Q63">
        <v>1.19185073100474</v>
      </c>
      <c r="R63">
        <v>1.16412201120346</v>
      </c>
      <c r="S63">
        <v>1.13599134529763</v>
      </c>
      <c r="T63">
        <v>1.10755654811406</v>
      </c>
      <c r="U63">
        <v>1.07891643419958</v>
      </c>
      <c r="V63">
        <v>1.05016946338382</v>
      </c>
      <c r="W63">
        <v>1.02141238490005</v>
      </c>
      <c r="X63">
        <v>0.992738931698779</v>
      </c>
      <c r="Y63">
        <v>0.964238613062731</v>
      </c>
      <c r="Z63">
        <v>0.935995646906053</v>
      </c>
      <c r="AA63">
        <v>0.908088063938289</v>
      </c>
      <c r="AB63">
        <v>0.880587005140076</v>
      </c>
      <c r="AC63">
        <v>0.853556222761347</v>
      </c>
      <c r="AD63">
        <v>0.827051784289224</v>
      </c>
      <c r="AE63">
        <v>0.801121969350075</v>
      </c>
      <c r="AF63">
        <v>0.775807341877006</v>
      </c>
      <c r="AG63">
        <v>0.751140974391954</v>
      </c>
      <c r="AH63">
        <v>0.727148797969394</v>
      </c>
      <c r="AI63">
        <v>0.703850050206924</v>
      </c>
      <c r="AJ63">
        <v>0.681257794021025</v>
      </c>
      <c r="AK63">
        <v>0.659379481926705</v>
      </c>
      <c r="AL63">
        <v>0.638217543238043</v>
      </c>
      <c r="AM63">
        <v>0.617769974955883</v>
      </c>
      <c r="AN63">
        <v>0.598030920656102</v>
      </c>
      <c r="AO63">
        <v>0.578991225192909</v>
      </c>
      <c r="AP63">
        <v>0.560638956295687</v>
      </c>
      <c r="AQ63" s="3"/>
      <c r="BA63">
        <v>63</v>
      </c>
      <c r="BB63" t="s">
        <v>281</v>
      </c>
    </row>
    <row r="64" spans="1:54">
      <c r="A64" s="1">
        <f t="shared" si="1"/>
        <v>40.5</v>
      </c>
      <c r="B64">
        <v>1.5079552274673</v>
      </c>
      <c r="C64">
        <v>1.49480496129288</v>
      </c>
      <c r="D64">
        <v>1.48043260274075</v>
      </c>
      <c r="E64">
        <v>1.46485300756784</v>
      </c>
      <c r="F64">
        <v>1.4480850483892</v>
      </c>
      <c r="G64">
        <v>1.43015218575015</v>
      </c>
      <c r="H64">
        <v>1.41108302233317</v>
      </c>
      <c r="I64">
        <v>1.39091181825464</v>
      </c>
      <c r="J64">
        <v>1.36967894279796</v>
      </c>
      <c r="K64">
        <v>1.34743123614775</v>
      </c>
      <c r="L64">
        <v>1.32422225412194</v>
      </c>
      <c r="M64">
        <v>1.3001123699143</v>
      </c>
      <c r="N64">
        <v>1.27516870976368</v>
      </c>
      <c r="O64">
        <v>1.24946490443052</v>
      </c>
      <c r="P64">
        <v>1.22308064537492</v>
      </c>
      <c r="Q64">
        <v>1.19610104334871</v>
      </c>
      <c r="R64">
        <v>1.16861579724213</v>
      </c>
      <c r="S64">
        <v>1.14071819173903</v>
      </c>
      <c r="T64">
        <v>1.11250395273689</v>
      </c>
      <c r="U64">
        <v>1.08406999861213</v>
      </c>
      <c r="V64">
        <v>1.05551313234592</v>
      </c>
      <c r="W64">
        <v>1.02692872354103</v>
      </c>
      <c r="X64">
        <v>0.998409430024188</v>
      </c>
      <c r="Y64">
        <v>0.970044005968364</v>
      </c>
      <c r="Z64">
        <v>0.941916237588578</v>
      </c>
      <c r="AA64">
        <v>0.914104039092645</v>
      </c>
      <c r="AB64">
        <v>0.88667873156219</v>
      </c>
      <c r="AC64">
        <v>0.859704516762796</v>
      </c>
      <c r="AD64">
        <v>0.833238147471703</v>
      </c>
      <c r="AE64">
        <v>0.807328786567366</v>
      </c>
      <c r="AF64">
        <v>0.782018039434448</v>
      </c>
      <c r="AG64">
        <v>0.757340138539859</v>
      </c>
      <c r="AH64">
        <v>0.733322255427497</v>
      </c>
      <c r="AI64">
        <v>0.709984913752519</v>
      </c>
      <c r="AJ64">
        <v>0.687342477070042</v>
      </c>
      <c r="AK64">
        <v>0.665403686557501</v>
      </c>
      <c r="AL64">
        <v>0.644172226299842</v>
      </c>
      <c r="AM64">
        <v>0.623647296829893</v>
      </c>
      <c r="AN64">
        <v>0.603824180963838</v>
      </c>
      <c r="AO64">
        <v>0.584694789337336</v>
      </c>
      <c r="AP64">
        <v>0.566248176232999</v>
      </c>
      <c r="AQ64" s="3"/>
      <c r="BA64">
        <v>64</v>
      </c>
      <c r="BB64" t="s">
        <v>282</v>
      </c>
    </row>
    <row r="65" spans="1:54">
      <c r="A65" s="1">
        <f t="shared" si="1"/>
        <v>41</v>
      </c>
      <c r="B65">
        <v>1.50871960298513</v>
      </c>
      <c r="C65">
        <v>1.49572818631527</v>
      </c>
      <c r="D65">
        <v>1.48152871860333</v>
      </c>
      <c r="E65">
        <v>1.46613552760202</v>
      </c>
      <c r="F65">
        <v>1.44956681951776</v>
      </c>
      <c r="G65">
        <v>1.43184523333113</v>
      </c>
      <c r="H65">
        <v>1.41299838043676</v>
      </c>
      <c r="I65">
        <v>1.39305934871388</v>
      </c>
      <c r="J65">
        <v>1.37206714760229</v>
      </c>
      <c r="K65">
        <v>1.3500670689738</v>
      </c>
      <c r="L65">
        <v>1.32711093791716</v>
      </c>
      <c r="M65">
        <v>1.30325722834896</v>
      </c>
      <c r="N65">
        <v>1.27857102091785</v>
      </c>
      <c r="O65">
        <v>1.25312378516491</v>
      </c>
      <c r="P65">
        <v>1.22699297435052</v>
      </c>
      <c r="Q65">
        <v>1.2002614295563</v>
      </c>
      <c r="R65">
        <v>1.17301659918483</v>
      </c>
      <c r="S65">
        <v>1.14534959015323</v>
      </c>
      <c r="T65">
        <v>1.11735407708574</v>
      </c>
      <c r="U65">
        <v>1.08912510474638</v>
      </c>
      <c r="V65">
        <v>1.06075782594167</v>
      </c>
      <c r="W65">
        <v>1.03234622144507</v>
      </c>
      <c r="X65">
        <v>1.00398184968834</v>
      </c>
      <c r="Y65">
        <v>0.975752671903165</v>
      </c>
      <c r="Z65">
        <v>0.947741993304071</v>
      </c>
      <c r="AA65">
        <v>0.920027553320701</v>
      </c>
      <c r="AB65">
        <v>0.892680788590942</v>
      </c>
      <c r="AC65">
        <v>0.865766282311919</v>
      </c>
      <c r="AD65">
        <v>0.839341403509701</v>
      </c>
      <c r="AE65">
        <v>0.813456130617516</v>
      </c>
      <c r="AF65">
        <v>0.788153046045577</v>
      </c>
      <c r="AG65">
        <v>0.76346748255466</v>
      </c>
      <c r="AH65">
        <v>0.739427798351026</v>
      </c>
      <c r="AI65">
        <v>0.71605575584038</v>
      </c>
      <c r="AJ65">
        <v>0.693366978697138</v>
      </c>
      <c r="AK65">
        <v>0.671371463007715</v>
      </c>
      <c r="AL65">
        <v>0.650074120374613</v>
      </c>
      <c r="AM65">
        <v>0.629475333664661</v>
      </c>
      <c r="AN65">
        <v>0.609571509227932</v>
      </c>
      <c r="AO65">
        <v>0.590355612635946</v>
      </c>
      <c r="AP65">
        <v>0.571817678084657</v>
      </c>
      <c r="AQ65" s="3"/>
      <c r="BA65">
        <v>65</v>
      </c>
      <c r="BB65" t="s">
        <v>283</v>
      </c>
    </row>
    <row r="66" spans="1:54">
      <c r="A66" s="1">
        <f t="shared" si="1"/>
        <v>41.5</v>
      </c>
      <c r="B66">
        <v>1.50946562985752</v>
      </c>
      <c r="C66">
        <v>1.49662928859262</v>
      </c>
      <c r="D66">
        <v>1.48259862946091</v>
      </c>
      <c r="E66">
        <v>1.46738747683709</v>
      </c>
      <c r="F66">
        <v>1.45101340134825</v>
      </c>
      <c r="G66">
        <v>1.43349825802329</v>
      </c>
      <c r="H66">
        <v>1.41486871175959</v>
      </c>
      <c r="I66">
        <v>1.39515673030442</v>
      </c>
      <c r="J66">
        <v>1.37440002248571</v>
      </c>
      <c r="K66">
        <v>1.35264239764598</v>
      </c>
      <c r="L66">
        <v>1.3299340214741</v>
      </c>
      <c r="M66">
        <v>1.30633154402768</v>
      </c>
      <c r="N66">
        <v>1.28189807797846</v>
      </c>
      <c r="O66">
        <v>1.25670300917975</v>
      </c>
      <c r="P66">
        <v>1.23082162757909</v>
      </c>
      <c r="Q66">
        <v>1.20433457411755</v>
      </c>
      <c r="R66">
        <v>1.17732710818856</v>
      </c>
      <c r="S66">
        <v>1.1498882098811</v>
      </c>
      <c r="T66">
        <v>1.1221095408463</v>
      </c>
      <c r="U66">
        <v>1.09408429635292</v>
      </c>
      <c r="V66">
        <v>1.06590598810026</v>
      </c>
      <c r="W66">
        <v>1.03766720192822</v>
      </c>
      <c r="X66">
        <v>1.0094583762237</v>
      </c>
      <c r="Y66">
        <v>0.981366645395481</v>
      </c>
      <c r="Z66">
        <v>0.9534747884291</v>
      </c>
      <c r="AA66">
        <v>0.925860315700067</v>
      </c>
      <c r="AB66">
        <v>0.898594718614858</v>
      </c>
      <c r="AC66">
        <v>0.871742897095235</v>
      </c>
      <c r="AD66">
        <v>0.845362770276036</v>
      </c>
      <c r="AE66">
        <v>0.819505066818259</v>
      </c>
      <c r="AF66">
        <v>0.794213283554428</v>
      </c>
      <c r="AG66">
        <v>0.769523795179218</v>
      </c>
      <c r="AH66">
        <v>0.745466093554727</v>
      </c>
      <c r="AI66">
        <v>0.722063132898432</v>
      </c>
      <c r="AJ66">
        <v>0.699331756488627</v>
      </c>
      <c r="AK66">
        <v>0.677283181278195</v>
      </c>
      <c r="AL66">
        <v>0.655923518621236</v>
      </c>
      <c r="AM66">
        <v>0.635254311848371</v>
      </c>
      <c r="AN66">
        <v>0.615273074361513</v>
      </c>
      <c r="AO66">
        <v>0.595973814990698</v>
      </c>
      <c r="AP66">
        <v>0.577347540355678</v>
      </c>
      <c r="AQ66" s="3"/>
      <c r="BA66">
        <v>66</v>
      </c>
      <c r="BB66" t="s">
        <v>284</v>
      </c>
    </row>
    <row r="67" spans="1:54">
      <c r="A67" s="1">
        <f t="shared" si="1"/>
        <v>42</v>
      </c>
      <c r="B67">
        <v>1.51019396012949</v>
      </c>
      <c r="C67">
        <v>1.49750905247153</v>
      </c>
      <c r="D67">
        <v>1.48364326157945</v>
      </c>
      <c r="E67">
        <v>1.46860993166283</v>
      </c>
      <c r="F67">
        <v>1.45242602684676</v>
      </c>
      <c r="G67">
        <v>1.43511265371093</v>
      </c>
      <c r="H67">
        <v>1.41669557297298</v>
      </c>
      <c r="I67">
        <v>1.39720568153474</v>
      </c>
      <c r="J67">
        <v>1.37667944372127</v>
      </c>
      <c r="K67">
        <v>1.35515924877188</v>
      </c>
      <c r="L67">
        <v>1.3326936708109</v>
      </c>
      <c r="M67">
        <v>1.30933760794954</v>
      </c>
      <c r="N67">
        <v>1.28515227912601</v>
      </c>
      <c r="O67">
        <v>1.26020506096478</v>
      </c>
      <c r="P67">
        <v>1.23456915237632</v>
      </c>
      <c r="Q67">
        <v>1.20832306169528</v>
      </c>
      <c r="R67">
        <v>1.18154991953412</v>
      </c>
      <c r="S67">
        <v>1.15433662967877</v>
      </c>
      <c r="T67">
        <v>1.12677287957382</v>
      </c>
      <c r="U67">
        <v>1.098950040445</v>
      </c>
      <c r="V67">
        <v>1.07095999408868</v>
      </c>
      <c r="W67">
        <v>1.04289392812846</v>
      </c>
      <c r="X67">
        <v>1.01484114360607</v>
      </c>
      <c r="Y67">
        <v>0.986887917920493</v>
      </c>
      <c r="Z67">
        <v>0.959116462447586</v>
      </c>
      <c r="AA67">
        <v>0.931604008047884</v>
      </c>
      <c r="AB67">
        <v>0.904422043725636</v>
      </c>
      <c r="AC67">
        <v>0.877635724704017</v>
      </c>
      <c r="AD67">
        <v>0.851303456938787</v>
      </c>
      <c r="AE67">
        <v>0.825476656352697</v>
      </c>
      <c r="AF67">
        <v>0.800199673443772</v>
      </c>
      <c r="AG67">
        <v>0.775509867820849</v>
      </c>
      <c r="AH67">
        <v>0.751437812862798</v>
      </c>
      <c r="AI67">
        <v>0.728007608105993</v>
      </c>
      <c r="AJ67">
        <v>0.70523727600348</v>
      </c>
      <c r="AK67">
        <v>0.683139220125173</v>
      </c>
      <c r="AL67">
        <v>0.66172072337648</v>
      </c>
      <c r="AM67">
        <v>0.64098446708132</v>
      </c>
      <c r="AN67">
        <v>0.620929054499868</v>
      </c>
      <c r="AO67">
        <v>0.601549525267195</v>
      </c>
      <c r="AP67">
        <v>0.582837850134708</v>
      </c>
      <c r="AQ67" s="3"/>
      <c r="BA67">
        <v>67</v>
      </c>
      <c r="BB67" t="s">
        <v>285</v>
      </c>
    </row>
    <row r="68" spans="1:54">
      <c r="A68" s="1">
        <f t="shared" si="1"/>
        <v>42.5</v>
      </c>
      <c r="B68">
        <v>1.51090521534936</v>
      </c>
      <c r="C68">
        <v>1.49836822571842</v>
      </c>
      <c r="D68">
        <v>1.4846634981872</v>
      </c>
      <c r="E68">
        <v>1.46980391869562</v>
      </c>
      <c r="F68">
        <v>1.45380587230955</v>
      </c>
      <c r="G68">
        <v>1.43668975069071</v>
      </c>
      <c r="H68">
        <v>1.41848045038145</v>
      </c>
      <c r="I68">
        <v>1.39920784408398</v>
      </c>
      <c r="J68">
        <v>1.37890720479753</v>
      </c>
      <c r="K68">
        <v>1.35761956092349</v>
      </c>
      <c r="L68">
        <v>1.33539195955613</v>
      </c>
      <c r="M68">
        <v>1.31227761544651</v>
      </c>
      <c r="N68">
        <v>1.28833592482659</v>
      </c>
      <c r="O68">
        <v>1.26363232659492</v>
      </c>
      <c r="P68">
        <v>1.23823799835919</v>
      </c>
      <c r="Q68">
        <v>1.21222938140091</v>
      </c>
      <c r="R68">
        <v>1.18568753648499</v>
      </c>
      <c r="S68">
        <v>1.15869734110227</v>
      </c>
      <c r="T68">
        <v>1.13134654756582</v>
      </c>
      <c r="U68">
        <v>1.10372472964233</v>
      </c>
      <c r="V68">
        <v>1.07592215233031</v>
      </c>
      <c r="W68">
        <v>1.04802860432223</v>
      </c>
      <c r="X68">
        <v>1.02013223510805</v>
      </c>
      <c r="Y68">
        <v>0.992318438342089</v>
      </c>
      <c r="Z68">
        <v>0.96466882004075</v>
      </c>
      <c r="AA68">
        <v>0.937260284722369</v>
      </c>
      <c r="AB68">
        <v>0.910164265294821</v>
      </c>
      <c r="AC68">
        <v>0.883446114046332</v>
      </c>
      <c r="AD68">
        <v>0.857164663263258</v>
      </c>
      <c r="AE68">
        <v>0.831371955508422</v>
      </c>
      <c r="AF68">
        <v>0.806113136050555</v>
      </c>
      <c r="AG68">
        <v>0.781426493774066</v>
      </c>
      <c r="AH68">
        <v>0.757343632362155</v>
      </c>
      <c r="AI68">
        <v>0.733889750693844</v>
      </c>
      <c r="AJ68">
        <v>0.711084010130521</v>
      </c>
      <c r="AK68">
        <v>0.688939966480065</v>
      </c>
      <c r="AL68">
        <v>0.667466045639057</v>
      </c>
      <c r="AM68">
        <v>0.646666043923055</v>
      </c>
      <c r="AN68">
        <v>0.626539636607517</v>
      </c>
      <c r="AO68">
        <v>0.607082880957268</v>
      </c>
      <c r="AP68">
        <v>0.588288702806978</v>
      </c>
      <c r="AQ68" s="3"/>
      <c r="BA68">
        <v>68</v>
      </c>
      <c r="BB68" t="s">
        <v>286</v>
      </c>
    </row>
    <row r="69" spans="1:54">
      <c r="A69" s="1">
        <f t="shared" ref="A69:A132" si="4">A68+0.5</f>
        <v>43</v>
      </c>
      <c r="B69">
        <v>1.511599988329</v>
      </c>
      <c r="C69">
        <v>1.49920752162379</v>
      </c>
      <c r="D69">
        <v>1.48566018193953</v>
      </c>
      <c r="E69">
        <v>1.47097041761282</v>
      </c>
      <c r="F69">
        <v>1.45515406056697</v>
      </c>
      <c r="G69">
        <v>1.43823081923444</v>
      </c>
      <c r="H69">
        <v>1.42022476382222</v>
      </c>
      <c r="I69">
        <v>1.40116478700305</v>
      </c>
      <c r="J69">
        <v>1.38108502087318</v>
      </c>
      <c r="K69">
        <v>1.36002518928438</v>
      </c>
      <c r="L69">
        <v>1.33803087371627</v>
      </c>
      <c r="M69">
        <v>1.3151536709896</v>
      </c>
      <c r="N69">
        <v>1.29145122258861</v>
      </c>
      <c r="O69">
        <v>1.2669870983473</v>
      </c>
      <c r="P69">
        <v>1.24183052183491</v>
      </c>
      <c r="Q69">
        <v>1.21605593087361</v>
      </c>
      <c r="R69">
        <v>1.18974237398588</v>
      </c>
      <c r="S69">
        <v>1.16297275176958</v>
      </c>
      <c r="T69">
        <v>1.13583292064952</v>
      </c>
      <c r="U69">
        <v>1.10841068446484</v>
      </c>
      <c r="V69">
        <v>1.08079470620534</v>
      </c>
      <c r="W69">
        <v>1.05307337724965</v>
      </c>
      <c r="X69">
        <v>1.02533368418294</v>
      </c>
      <c r="Y69">
        <v>0.997660113401457</v>
      </c>
      <c r="Z69">
        <v>0.970133631234689</v>
      </c>
      <c r="AA69">
        <v>0.942830772488053</v>
      </c>
      <c r="AB69">
        <v>0.915822863616067</v>
      </c>
      <c r="AC69">
        <v>0.889175398823276</v>
      </c>
      <c r="AD69">
        <v>0.862947578974237</v>
      </c>
      <c r="AE69">
        <v>0.837192014971408</v>
      </c>
      <c r="AF69">
        <v>0.811954589829635</v>
      </c>
      <c r="AG69">
        <v>0.78727446748478</v>
      </c>
      <c r="AH69">
        <v>0.76318423169042</v>
      </c>
      <c r="AI69">
        <v>0.739710135272707</v>
      </c>
      <c r="AJ69">
        <v>0.71687243846833</v>
      </c>
      <c r="AK69">
        <v>0.694685814886967</v>
      </c>
      <c r="AL69">
        <v>0.67315980456713</v>
      </c>
      <c r="AM69">
        <v>0.652299295349448</v>
      </c>
      <c r="AN69">
        <v>0.632105016092378</v>
      </c>
      <c r="AO69">
        <v>0.612574027846388</v>
      </c>
      <c r="AP69">
        <v>0.593700201770325</v>
      </c>
      <c r="AQ69" s="3"/>
      <c r="BA69">
        <v>69</v>
      </c>
      <c r="BB69" t="s">
        <v>287</v>
      </c>
    </row>
    <row r="70" spans="1:54">
      <c r="A70" s="1">
        <f t="shared" si="4"/>
        <v>43.5</v>
      </c>
      <c r="B70">
        <v>1.51227884478373</v>
      </c>
      <c r="C70">
        <v>1.50002762096317</v>
      </c>
      <c r="D70">
        <v>1.4866341172166</v>
      </c>
      <c r="E70">
        <v>1.47211036379621</v>
      </c>
      <c r="F70">
        <v>1.45647166397328</v>
      </c>
      <c r="G70">
        <v>1.43973707291657</v>
      </c>
      <c r="H70">
        <v>1.42192987031033</v>
      </c>
      <c r="I70">
        <v>1.40307801064601</v>
      </c>
      <c r="J70">
        <v>1.38321453295111</v>
      </c>
      <c r="K70">
        <v>1.36237791001105</v>
      </c>
      <c r="L70">
        <v>1.3406123161581</v>
      </c>
      <c r="M70">
        <v>1.31796779271704</v>
      </c>
      <c r="N70">
        <v>1.29450029145551</v>
      </c>
      <c r="O70">
        <v>1.27027157907438</v>
      </c>
      <c r="P70">
        <v>1.24534898997171</v>
      </c>
      <c r="Q70">
        <v>1.21980502017142</v>
      </c>
      <c r="R70">
        <v>1.19371676220661</v>
      </c>
      <c r="S70">
        <v>1.16716518850303</v>
      </c>
      <c r="T70">
        <v>1.14023429888423</v>
      </c>
      <c r="U70">
        <v>1.1130101555744</v>
      </c>
      <c r="V70">
        <v>1.08557983582905</v>
      </c>
      <c r="W70">
        <v>1.05803033744359</v>
      </c>
      <c r="X70">
        <v>1.03044747537357</v>
      </c>
      <c r="Y70">
        <v>1.00291480824659</v>
      </c>
      <c r="Z70">
        <v>0.975512631599916</v>
      </c>
      <c r="AA70">
        <v>0.948317070439459</v>
      </c>
      <c r="AB70">
        <v>0.921399297608363</v>
      </c>
      <c r="AC70">
        <v>0.89482489706544</v>
      </c>
      <c r="AD70">
        <v>0.868653383175364</v>
      </c>
      <c r="AE70">
        <v>0.842937879172157</v>
      </c>
      <c r="AF70">
        <v>0.817724950663929</v>
      </c>
      <c r="AG70">
        <v>0.793054583854636</v>
      </c>
      <c r="AH70">
        <v>0.768960293357778</v>
      </c>
      <c r="AI70">
        <v>0.745469341189612</v>
      </c>
      <c r="AJ70">
        <v>0.722603046727591</v>
      </c>
      <c r="AK70">
        <v>0.700377166957824</v>
      </c>
      <c r="AL70">
        <v>0.678802326989371</v>
      </c>
      <c r="AM70">
        <v>0.657884482319882</v>
      </c>
      <c r="AN70">
        <v>0.637625396427225</v>
      </c>
      <c r="AO70">
        <v>0.618023119686131</v>
      </c>
      <c r="AP70">
        <v>0.599072458154519</v>
      </c>
      <c r="AQ70" s="3"/>
      <c r="BA70">
        <v>70</v>
      </c>
      <c r="BB70" t="s">
        <v>288</v>
      </c>
    </row>
    <row r="71" spans="1:54">
      <c r="A71" s="1">
        <f t="shared" si="4"/>
        <v>44</v>
      </c>
      <c r="B71">
        <v>1.51294232486125</v>
      </c>
      <c r="C71">
        <v>1.50082917382587</v>
      </c>
      <c r="D71">
        <v>1.48758607226714</v>
      </c>
      <c r="E71">
        <v>1.47322465079941</v>
      </c>
      <c r="F71">
        <v>1.45775970719914</v>
      </c>
      <c r="G71">
        <v>1.44120967172399</v>
      </c>
      <c r="H71">
        <v>1.42359706744849</v>
      </c>
      <c r="I71">
        <v>1.40494895035156</v>
      </c>
      <c r="J71">
        <v>1.38529731179204</v>
      </c>
      <c r="K71">
        <v>1.36467942432822</v>
      </c>
      <c r="L71">
        <v>1.34313811082497</v>
      </c>
      <c r="M71">
        <v>1.3207219167024</v>
      </c>
      <c r="N71">
        <v>1.29748516625049</v>
      </c>
      <c r="O71">
        <v>1.27348788634706</v>
      </c>
      <c r="P71">
        <v>1.24879558476274</v>
      </c>
      <c r="Q71">
        <v>1.22347887548301</v>
      </c>
      <c r="R71">
        <v>1.1976129499372</v>
      </c>
      <c r="S71">
        <v>1.17127690035485</v>
      </c>
      <c r="T71">
        <v>1.14455290917933</v>
      </c>
      <c r="U71">
        <v>1.11752532596311</v>
      </c>
      <c r="V71">
        <v>1.09027965980493</v>
      </c>
      <c r="W71">
        <v>1.06290152055809</v>
      </c>
      <c r="X71">
        <v>1.03547554524086</v>
      </c>
      <c r="Y71">
        <v>1.00808434699733</v>
      </c>
      <c r="Z71">
        <v>0.980807522497587</v>
      </c>
      <c r="AA71">
        <v>0.953720749978293</v>
      </c>
      <c r="AB71">
        <v>0.926895004575808</v>
      </c>
      <c r="AC71">
        <v>0.900395910725865</v>
      </c>
      <c r="AD71">
        <v>0.874283243822485</v>
      </c>
      <c r="AE71">
        <v>0.848610585681679</v>
      </c>
      <c r="AF71">
        <v>0.823425131219156</v>
      </c>
      <c r="AG71">
        <v>0.798767637584175</v>
      </c>
      <c r="AH71">
        <v>0.774672502101795</v>
      </c>
      <c r="AI71">
        <v>0.751167951911618</v>
      </c>
      <c r="AJ71">
        <v>0.728276326155631</v>
      </c>
      <c r="AK71">
        <v>0.706014430845154</v>
      </c>
      <c r="AL71">
        <v>0.684393946929613</v>
      </c>
      <c r="AM71">
        <v>0.663421873354673</v>
      </c>
      <c r="AN71">
        <v>0.643100988778626</v>
      </c>
      <c r="AO71">
        <v>0.623430317871907</v>
      </c>
      <c r="AP71">
        <v>0.604405590544105</v>
      </c>
      <c r="AQ71" s="3"/>
      <c r="BA71">
        <v>71</v>
      </c>
      <c r="BB71" t="s">
        <v>289</v>
      </c>
    </row>
    <row r="72" spans="1:54">
      <c r="A72" s="1">
        <f t="shared" si="4"/>
        <v>44.5</v>
      </c>
      <c r="B72">
        <v>1.51359094456835</v>
      </c>
      <c r="C72">
        <v>1.50161280132202</v>
      </c>
      <c r="D72">
        <v>1.48851678120993</v>
      </c>
      <c r="E72">
        <v>1.47431413265267</v>
      </c>
      <c r="F72">
        <v>1.45901916984138</v>
      </c>
      <c r="G72">
        <v>1.44264972496464</v>
      </c>
      <c r="H72">
        <v>1.42522759661887</v>
      </c>
      <c r="I72">
        <v>1.40677897989273</v>
      </c>
      <c r="J72">
        <v>1.38733486158626</v>
      </c>
      <c r="K72">
        <v>1.36693136237655</v>
      </c>
      <c r="L72">
        <v>1.34561000670486</v>
      </c>
      <c r="M72">
        <v>1.32341790097938</v>
      </c>
      <c r="N72">
        <v>1.30040780158832</v>
      </c>
      <c r="O72">
        <v>1.27663805638073</v>
      </c>
      <c r="P72">
        <v>1.25217240679381</v>
      </c>
      <c r="Q72">
        <v>1.2270796426682</v>
      </c>
      <c r="R72">
        <v>1.20143310783962</v>
      </c>
      <c r="S72">
        <v>1.1753100615192</v>
      </c>
      <c r="T72">
        <v>1.14879090782857</v>
      </c>
      <c r="U72">
        <v>1.12195831308678</v>
      </c>
      <c r="V72">
        <v>1.09489623694979</v>
      </c>
      <c r="W72">
        <v>1.06768890869255</v>
      </c>
      <c r="X72">
        <v>1.04041978330778</v>
      </c>
      <c r="Y72">
        <v>1.01317051334114</v>
      </c>
      <c r="Z72">
        <v>0.986019971367528</v>
      </c>
      <c r="AA72">
        <v>0.959043354839524</v>
      </c>
      <c r="AB72">
        <v>0.932311400019781</v>
      </c>
      <c r="AC72">
        <v>0.905889725325877</v>
      </c>
      <c r="AD72">
        <v>0.879838317248026</v>
      </c>
      <c r="AE72">
        <v>0.854211164654896</v>
      </c>
      <c r="AF72">
        <v>0.829056040341321</v>
      </c>
      <c r="AG72">
        <v>0.804414422553488</v>
      </c>
      <c r="AH72">
        <v>0.780321544274301</v>
      </c>
      <c r="AI72">
        <v>0.756806554436315</v>
      </c>
      <c r="AJ72">
        <v>0.733892772982815</v>
      </c>
      <c r="AK72">
        <v>0.711598020732241</v>
      </c>
      <c r="AL72">
        <v>0.689935005145104</v>
      </c>
      <c r="AM72">
        <v>0.66891174412284</v>
      </c>
      <c r="AN72">
        <v>0.648532011643528</v>
      </c>
      <c r="AO72">
        <v>0.628795791126129</v>
      </c>
      <c r="AP72">
        <v>0.609699724704945</v>
      </c>
      <c r="AQ72" s="3"/>
      <c r="BA72">
        <v>72</v>
      </c>
      <c r="BB72" t="s">
        <v>290</v>
      </c>
    </row>
    <row r="73" spans="1:54">
      <c r="A73" s="1">
        <f t="shared" si="4"/>
        <v>45</v>
      </c>
      <c r="B73">
        <v>1.51422519710324</v>
      </c>
      <c r="C73">
        <v>1.50237909717693</v>
      </c>
      <c r="D73">
        <v>1.48942694590408</v>
      </c>
      <c r="E73">
        <v>1.47537962601748</v>
      </c>
      <c r="F73">
        <v>1.46025098886415</v>
      </c>
      <c r="G73">
        <v>1.44405829398979</v>
      </c>
      <c r="H73">
        <v>1.42682264597301</v>
      </c>
      <c r="I73">
        <v>1.40856941471139</v>
      </c>
      <c r="J73">
        <v>1.3893286234004</v>
      </c>
      <c r="K73">
        <v>1.36913528682961</v>
      </c>
      <c r="L73">
        <v>1.34802968156667</v>
      </c>
      <c r="M73">
        <v>1.32605752933865</v>
      </c>
      <c r="N73">
        <v>1.30327007566828</v>
      </c>
      <c r="O73">
        <v>1.27972404775664</v>
      </c>
      <c r="P73">
        <v>1.25548147882516</v>
      </c>
      <c r="Q73">
        <v>1.23060939063523</v>
      </c>
      <c r="R73">
        <v>1.20517933156183</v>
      </c>
      <c r="S73">
        <v>1.17926677413381</v>
      </c>
      <c r="T73">
        <v>1.1529503829619</v>
      </c>
      <c r="U73">
        <v>1.12631117094319</v>
      </c>
      <c r="V73">
        <v>1.0994315679888</v>
      </c>
      <c r="W73">
        <v>1.07239443170799</v>
      </c>
      <c r="X73">
        <v>1.04528203301433</v>
      </c>
      <c r="Y73">
        <v>1.01817505115495</v>
      </c>
      <c r="Z73">
        <v>0.99115161205352</v>
      </c>
      <c r="AA73">
        <v>0.96428640116202</v>
      </c>
      <c r="AB73">
        <v>0.937649877499552</v>
      </c>
      <c r="AC73">
        <v>0.911307609650362</v>
      </c>
      <c r="AD73">
        <v>0.885319747733506</v>
      </c>
      <c r="AE73">
        <v>0.859740638319175</v>
      </c>
      <c r="AF73">
        <v>0.834618582495183</v>
      </c>
      <c r="AG73">
        <v>0.80999573123904</v>
      </c>
      <c r="AH73">
        <v>0.785908107259416</v>
      </c>
      <c r="AI73">
        <v>0.762385738728509</v>
      </c>
      <c r="AJ73">
        <v>0.739452887890465</v>
      </c>
      <c r="AK73">
        <v>0.717128356340621</v>
      </c>
      <c r="AL73">
        <v>0.695425848678364</v>
      </c>
      <c r="AM73">
        <v>0.674354377040303</v>
      </c>
      <c r="AN73">
        <v>0.653918690493616</v>
      </c>
      <c r="AO73">
        <v>0.634119715187013</v>
      </c>
      <c r="AP73">
        <v>0.614954993314657</v>
      </c>
      <c r="AQ73" s="3"/>
      <c r="BA73">
        <v>73</v>
      </c>
      <c r="BB73" t="s">
        <v>291</v>
      </c>
    </row>
    <row r="74" spans="1:54">
      <c r="A74" s="1">
        <f t="shared" si="4"/>
        <v>45.5</v>
      </c>
      <c r="B74">
        <v>1.51484555410072</v>
      </c>
      <c r="C74">
        <v>1.50312862922161</v>
      </c>
      <c r="D74">
        <v>1.49031723769791</v>
      </c>
      <c r="E74">
        <v>1.47642191220215</v>
      </c>
      <c r="F74">
        <v>1.46145606088364</v>
      </c>
      <c r="G74">
        <v>1.4454363947437</v>
      </c>
      <c r="H74">
        <v>1.42838335323422</v>
      </c>
      <c r="I74">
        <v>1.41032151495301</v>
      </c>
      <c r="J74">
        <v>1.391279978415</v>
      </c>
      <c r="K74">
        <v>1.37129269629593</v>
      </c>
      <c r="L74">
        <v>1.35039874547993</v>
      </c>
      <c r="M74">
        <v>1.32864251491117</v>
      </c>
      <c r="N74">
        <v>1.30607379386148</v>
      </c>
      <c r="O74">
        <v>1.28274774495015</v>
      </c>
      <c r="P74">
        <v>1.25872474919698</v>
      </c>
      <c r="Q74">
        <v>1.2340701145623</v>
      </c>
      <c r="R74">
        <v>1.20885364471968</v>
      </c>
      <c r="S74">
        <v>1.18314907097459</v>
      </c>
      <c r="T74">
        <v>1.15703335691615</v>
      </c>
      <c r="U74">
        <v>1.13058589209444</v>
      </c>
      <c r="V74">
        <v>1.10388759721847</v>
      </c>
      <c r="W74">
        <v>1.0770199685327</v>
      </c>
      <c r="X74">
        <v>1.05006409268002</v>
      </c>
      <c r="Y74">
        <v>1.02309966514921</v>
      </c>
      <c r="Z74">
        <v>0.996204045161668</v>
      </c>
      <c r="AA74">
        <v>0.96945137759971</v>
      </c>
      <c r="AB74">
        <v>0.94291180853763</v>
      </c>
      <c r="AC74">
        <v>0.916650815489205</v>
      </c>
      <c r="AD74">
        <v>0.890728667127393</v>
      </c>
      <c r="AE74">
        <v>0.865200020505716</v>
      </c>
      <c r="AF74">
        <v>0.840113657241907</v>
      </c>
      <c r="AG74">
        <v>0.815512354165339</v>
      </c>
      <c r="AH74">
        <v>0.79143287892177</v>
      </c>
      <c r="AI74">
        <v>0.767906097182461</v>
      </c>
      <c r="AJ74">
        <v>0.744957175499934</v>
      </c>
      <c r="AK74">
        <v>0.722605862454692</v>
      </c>
      <c r="AL74">
        <v>0.700866830422591</v>
      </c>
      <c r="AM74">
        <v>0.679750060878552</v>
      </c>
      <c r="AN74">
        <v>0.659261257427564</v>
      </c>
      <c r="AO74">
        <v>0.639402272503124</v>
      </c>
      <c r="AP74">
        <v>0.620171535697099</v>
      </c>
      <c r="AQ74" s="3"/>
      <c r="BA74">
        <v>74</v>
      </c>
      <c r="BB74" t="s">
        <v>292</v>
      </c>
    </row>
    <row r="75" spans="1:54">
      <c r="A75" s="1">
        <f t="shared" si="4"/>
        <v>46</v>
      </c>
      <c r="B75">
        <v>1.51545246679666</v>
      </c>
      <c r="C75">
        <v>1.50386194078708</v>
      </c>
      <c r="D75">
        <v>1.49118829906554</v>
      </c>
      <c r="E75">
        <v>1.47744173904865</v>
      </c>
      <c r="F75">
        <v>1.46263524430806</v>
      </c>
      <c r="G75">
        <v>1.4467850001532</v>
      </c>
      <c r="H75">
        <v>1.4299108083262</v>
      </c>
      <c r="I75">
        <v>1.41203648831572</v>
      </c>
      <c r="J75">
        <v>1.39319025096727</v>
      </c>
      <c r="K75">
        <v>1.37340502852052</v>
      </c>
      <c r="L75">
        <v>1.35271874413211</v>
      </c>
      <c r="M75">
        <v>1.3311745035515</v>
      </c>
      <c r="N75">
        <v>1.30882069210485</v>
      </c>
      <c r="O75">
        <v>1.28571096167675</v>
      </c>
      <c r="P75">
        <v>1.26190409506795</v>
      </c>
      <c r="Q75">
        <v>1.23746373897083</v>
      </c>
      <c r="R75">
        <v>1.21245800175179</v>
      </c>
      <c r="S75">
        <v>1.18695891804666</v>
      </c>
      <c r="T75">
        <v>1.16104178852611</v>
      </c>
      <c r="U75">
        <v>1.13478440963337</v>
      </c>
      <c r="V75">
        <v>1.10826621413607</v>
      </c>
      <c r="W75">
        <v>1.08156734845458</v>
      </c>
      <c r="X75">
        <v>1.05476771647048</v>
      </c>
      <c r="Y75">
        <v>1.02794602153023</v>
      </c>
      <c r="Z75">
        <v>1.00117883844796</v>
      </c>
      <c r="AA75">
        <v>0.974539745469475</v>
      </c>
      <c r="AB75">
        <v>0.948098542566326</v>
      </c>
      <c r="AC75">
        <v>0.921920577421785</v>
      </c>
      <c r="AD75">
        <v>0.896066194505673</v>
      </c>
      <c r="AE75">
        <v>0.870590316221619</v>
      </c>
      <c r="AF75">
        <v>0.845542158754199</v>
      </c>
      <c r="AG75">
        <v>0.820965079390154</v>
      </c>
      <c r="AH75">
        <v>0.79689654708398</v>
      </c>
      <c r="AI75">
        <v>0.773368224109056</v>
      </c>
      <c r="AJ75">
        <v>0.750406143882436</v>
      </c>
      <c r="AK75">
        <v>0.728030968463247</v>
      </c>
      <c r="AL75">
        <v>0.706258308700559</v>
      </c>
      <c r="AM75">
        <v>0.685099090383829</v>
      </c>
      <c r="AN75">
        <v>0.66455995083127</v>
      </c>
      <c r="AO75">
        <v>0.644643651933834</v>
      </c>
      <c r="AP75">
        <v>0.625349497561058</v>
      </c>
      <c r="AQ75" s="3"/>
      <c r="BA75">
        <v>75</v>
      </c>
      <c r="BB75" t="s">
        <v>293</v>
      </c>
    </row>
    <row r="76" spans="1:54">
      <c r="A76" s="1">
        <f t="shared" si="4"/>
        <v>46.5</v>
      </c>
      <c r="B76">
        <v>1.51604636711801</v>
      </c>
      <c r="C76">
        <v>1.5045795520097</v>
      </c>
      <c r="D76">
        <v>1.4920407451394</v>
      </c>
      <c r="E76">
        <v>1.47843982270036</v>
      </c>
      <c r="F76">
        <v>1.4637893613435</v>
      </c>
      <c r="G76">
        <v>1.44810504236882</v>
      </c>
      <c r="H76">
        <v>1.43140605584</v>
      </c>
      <c r="I76">
        <v>1.41371549272658</v>
      </c>
      <c r="J76">
        <v>1.39506071141254</v>
      </c>
      <c r="K76">
        <v>1.37547366339926</v>
      </c>
      <c r="L76">
        <v>1.35499116195674</v>
      </c>
      <c r="M76">
        <v>1.33365507703357</v>
      </c>
      <c r="N76">
        <v>1.31151244011339</v>
      </c>
      <c r="O76">
        <v>1.28861544406616</v>
      </c>
      <c r="P76">
        <v>1.26502132549538</v>
      </c>
      <c r="Q76">
        <v>1.24079212065734</v>
      </c>
      <c r="R76">
        <v>1.2159942906528</v>
      </c>
      <c r="S76">
        <v>1.19069821707501</v>
      </c>
      <c r="T76">
        <v>1.16497757533751</v>
      </c>
      <c r="U76">
        <v>1.13890859909419</v>
      </c>
      <c r="V76">
        <v>1.1125692550343</v>
      </c>
      <c r="W76">
        <v>1.08603835239784</v>
      </c>
      <c r="X76">
        <v>1.05939461536523</v>
      </c>
      <c r="Y76">
        <v>1.03271574867748</v>
      </c>
      <c r="Z76">
        <v>1.00607752723146</v>
      </c>
      <c r="AA76">
        <v>0.979552938932254</v>
      </c>
      <c r="AB76">
        <v>0.953211406912244</v>
      </c>
      <c r="AC76">
        <v>0.927118112641555</v>
      </c>
      <c r="AD76">
        <v>0.901333435872558</v>
      </c>
      <c r="AE76">
        <v>0.875912521260506</v>
      </c>
      <c r="AF76">
        <v>0.850904975367225</v>
      </c>
      <c r="AG76">
        <v>0.826354692021975</v>
      </c>
      <c r="AH76">
        <v>0.802299799032445</v>
      </c>
      <c r="AI76">
        <v>0.778772715247236</v>
      </c>
      <c r="AJ76">
        <v>0.755800304089223</v>
      </c>
      <c r="AK76">
        <v>0.733404107917683</v>
      </c>
      <c r="AL76">
        <v>0.711600646856898</v>
      </c>
      <c r="AM76">
        <v>0.690401765906821</v>
      </c>
      <c r="AN76">
        <v>0.66981501504615</v>
      </c>
      <c r="AO76">
        <v>0.649844048455774</v>
      </c>
      <c r="AP76">
        <v>0.630489030743275</v>
      </c>
      <c r="AQ76" s="3"/>
      <c r="BA76">
        <v>76</v>
      </c>
      <c r="BB76" t="s">
        <v>294</v>
      </c>
    </row>
    <row r="77" spans="1:54">
      <c r="A77" s="1">
        <f t="shared" si="4"/>
        <v>47</v>
      </c>
      <c r="B77">
        <v>1.51662766870367</v>
      </c>
      <c r="C77">
        <v>1.50528196105406</v>
      </c>
      <c r="D77">
        <v>1.49287516514647</v>
      </c>
      <c r="E77">
        <v>1.47941684925919</v>
      </c>
      <c r="F77">
        <v>1.46491919987507</v>
      </c>
      <c r="G77">
        <v>1.44939741486787</v>
      </c>
      <c r="H77">
        <v>1.43287009735089</v>
      </c>
      <c r="I77">
        <v>1.41535963885723</v>
      </c>
      <c r="J77">
        <v>1.39689257881647</v>
      </c>
      <c r="K77">
        <v>1.37749992581869</v>
      </c>
      <c r="L77">
        <v>1.35721742508438</v>
      </c>
      <c r="M77">
        <v>1.33608575607053</v>
      </c>
      <c r="N77">
        <v>1.31415064442137</v>
      </c>
      <c r="O77">
        <v>1.29146287367412</v>
      </c>
      <c r="P77">
        <v>1.26807818436538</v>
      </c>
      <c r="Q77">
        <v>1.24405705149072</v>
      </c>
      <c r="R77">
        <v>1.21946433558991</v>
      </c>
      <c r="S77">
        <v>1.19436880789828</v>
      </c>
      <c r="T77">
        <v>1.16884255574385</v>
      </c>
      <c r="U77">
        <v>1.14296028030756</v>
      </c>
      <c r="V77">
        <v>1.11679850456033</v>
      </c>
      <c r="W77">
        <v>1.0904347141824</v>
      </c>
      <c r="X77">
        <v>1.063946458124</v>
      </c>
      <c r="Y77">
        <v>1.03741043783274</v>
      </c>
      <c r="Z77">
        <v>1.01090161482982</v>
      </c>
      <c r="AA77">
        <v>0.984492365204084</v>
      </c>
      <c r="AB77">
        <v>0.958251706815578</v>
      </c>
      <c r="AC77">
        <v>0.932244620817897</v>
      </c>
      <c r="AD77">
        <v>0.90653148389889</v>
      </c>
      <c r="AE77">
        <v>0.881167621849648</v>
      </c>
      <c r="AF77">
        <v>0.856202989163658</v>
      </c>
      <c r="AG77">
        <v>0.831681973768444</v>
      </c>
      <c r="AH77">
        <v>0.807643321050502</v>
      </c>
      <c r="AI77">
        <v>0.784120167299044</v>
      </c>
      <c r="AJ77">
        <v>0.761140169701668</v>
      </c>
      <c r="AK77">
        <v>0.73872571810665</v>
      </c>
      <c r="AL77">
        <v>0.716894212863665</v>
      </c>
      <c r="AM77">
        <v>0.695658393042855</v>
      </c>
      <c r="AN77">
        <v>0.675026700045539</v>
      </c>
      <c r="AO77">
        <v>0.655003662875404</v>
      </c>
      <c r="AP77">
        <v>0.63559029295592</v>
      </c>
      <c r="AQ77" s="3"/>
      <c r="BA77">
        <v>77</v>
      </c>
      <c r="BB77" t="s">
        <v>295</v>
      </c>
    </row>
    <row r="78" spans="1:54">
      <c r="A78" s="1">
        <f t="shared" si="4"/>
        <v>47.5</v>
      </c>
      <c r="B78">
        <v>1.5171967678613</v>
      </c>
      <c r="C78">
        <v>1.50596964525935</v>
      </c>
      <c r="D78">
        <v>1.49369212375505</v>
      </c>
      <c r="E78">
        <v>1.48037347634008</v>
      </c>
      <c r="F78">
        <v>1.46602551523254</v>
      </c>
      <c r="G78">
        <v>1.45066297442949</v>
      </c>
      <c r="H78">
        <v>1.43430389359549</v>
      </c>
      <c r="I78">
        <v>1.41696999248977</v>
      </c>
      <c r="J78">
        <v>1.39868702348976</v>
      </c>
      <c r="K78">
        <v>1.3794850883326</v>
      </c>
      <c r="L78">
        <v>1.35939890412793</v>
      </c>
      <c r="M78">
        <v>1.33846800316957</v>
      </c>
      <c r="N78">
        <v>1.31673685126278</v>
      </c>
      <c r="O78">
        <v>1.29425487034099</v>
      </c>
      <c r="P78">
        <v>1.27107635318081</v>
      </c>
      <c r="Q78">
        <v>1.24726026108128</v>
      </c>
      <c r="R78">
        <v>1.22286989940771</v>
      </c>
      <c r="S78">
        <v>1.19797247076909</v>
      </c>
      <c r="T78">
        <v>1.17263851104891</v>
      </c>
      <c r="U78">
        <v>1.14694121920059</v>
      </c>
      <c r="V78">
        <v>1.12095569723838</v>
      </c>
      <c r="W78">
        <v>1.09475812176401</v>
      </c>
      <c r="X78">
        <v>1.06842487224916</v>
      </c>
      <c r="Y78">
        <v>1.04203164379836</v>
      </c>
      <c r="Z78">
        <v>1.01565257301413</v>
      </c>
      <c r="AA78">
        <v>0.989359404794011</v>
      </c>
      <c r="AB78">
        <v>0.963220725481308</v>
      </c>
      <c r="AC78">
        <v>0.937301283992587</v>
      </c>
      <c r="AD78">
        <v>0.911661417695916</v>
      </c>
      <c r="AE78">
        <v>0.886356594331637</v>
      </c>
      <c r="AF78">
        <v>0.861437075591258</v>
      </c>
      <c r="AG78">
        <v>0.836947702514501</v>
      </c>
      <c r="AH78">
        <v>0.812927797978004</v>
      </c>
      <c r="AI78">
        <v>0.789411177487597</v>
      </c>
      <c r="AJ78">
        <v>0.76642625640081</v>
      </c>
      <c r="AK78">
        <v>0.74399623964687</v>
      </c>
      <c r="AL78">
        <v>0.722139378939059</v>
      </c>
      <c r="AM78">
        <v>0.700869282282552</v>
      </c>
      <c r="AN78">
        <v>0.680195261119237</v>
      </c>
      <c r="AO78">
        <v>0.660122701547749</v>
      </c>
      <c r="AP78">
        <v>0.640653447538633</v>
      </c>
      <c r="AQ78" s="3"/>
      <c r="BA78">
        <v>78</v>
      </c>
      <c r="BB78" t="s">
        <v>296</v>
      </c>
    </row>
    <row r="79" spans="1:54">
      <c r="A79" s="1">
        <f t="shared" si="4"/>
        <v>48</v>
      </c>
      <c r="B79">
        <v>1.51775404446481</v>
      </c>
      <c r="C79">
        <v>1.50664306221492</v>
      </c>
      <c r="D79">
        <v>1.49449216233853</v>
      </c>
      <c r="E79">
        <v>1.48131033453036</v>
      </c>
      <c r="F79">
        <v>1.46710903184843</v>
      </c>
      <c r="G79">
        <v>1.45190254299041</v>
      </c>
      <c r="H79">
        <v>1.43570836651896</v>
      </c>
      <c r="I79">
        <v>1.41854757674314</v>
      </c>
      <c r="J79">
        <v>1.40044516937555</v>
      </c>
      <c r="K79">
        <v>1.38143037368606</v>
      </c>
      <c r="L79">
        <v>1.36153691681271</v>
      </c>
      <c r="M79">
        <v>1.34080322533192</v>
      </c>
      <c r="N79">
        <v>1.31927254930034</v>
      </c>
      <c r="O79">
        <v>1.29699299490574</v>
      </c>
      <c r="P79">
        <v>1.2740174537145</v>
      </c>
      <c r="Q79">
        <v>1.25040341932782</v>
      </c>
      <c r="R79">
        <v>1.22621268602599</v>
      </c>
      <c r="S79">
        <v>1.201510928564</v>
      </c>
      <c r="T79">
        <v>1.17636716745673</v>
      </c>
      <c r="U79">
        <v>1.15085312954254</v>
      </c>
      <c r="V79">
        <v>1.12504251895552</v>
      </c>
      <c r="W79">
        <v>1.09901021845403</v>
      </c>
      <c r="X79">
        <v>1.07283144494235</v>
      </c>
      <c r="Y79">
        <v>1.04658088564196</v>
      </c>
      <c r="Z79">
        <v>1.02033184248022</v>
      </c>
      <c r="AA79">
        <v>0.994155411766039</v>
      </c>
      <c r="AB79">
        <v>0.968119724159546</v>
      </c>
      <c r="AC79">
        <v>0.942289266508348</v>
      </c>
      <c r="AD79">
        <v>0.916724302622183</v>
      </c>
      <c r="AE79">
        <v>0.891480404878685</v>
      </c>
      <c r="AF79">
        <v>0.866608103111414</v>
      </c>
      <c r="AG79">
        <v>0.842152651929005</v>
      </c>
      <c r="AH79">
        <v>0.818153912796387</v>
      </c>
      <c r="AI79">
        <v>0.794646343137321</v>
      </c>
      <c r="AJ79">
        <v>0.771659081555911</v>
      </c>
      <c r="AK79">
        <v>0.74921611608983</v>
      </c>
      <c r="AL79">
        <v>0.727336521179129</v>
      </c>
      <c r="AM79">
        <v>0.706034748672905</v>
      </c>
      <c r="AN79">
        <v>0.685320958566223</v>
      </c>
      <c r="AO79">
        <v>0.665201376101403</v>
      </c>
      <c r="AP79">
        <v>0.645678663215221</v>
      </c>
      <c r="AQ79" s="3"/>
      <c r="BA79">
        <v>79</v>
      </c>
      <c r="BB79" t="s">
        <v>297</v>
      </c>
    </row>
    <row r="80" spans="1:54">
      <c r="A80" s="1">
        <f t="shared" si="4"/>
        <v>48.5</v>
      </c>
      <c r="B80">
        <v>1.51829986279662</v>
      </c>
      <c r="C80">
        <v>1.50730265076978</v>
      </c>
      <c r="D80">
        <v>1.49527580016211</v>
      </c>
      <c r="E80">
        <v>1.48222802876037</v>
      </c>
      <c r="F80">
        <v>1.46817044481618</v>
      </c>
      <c r="G80">
        <v>1.45311690938981</v>
      </c>
      <c r="H80">
        <v>1.43708440120094</v>
      </c>
      <c r="I80">
        <v>1.4200933741695</v>
      </c>
      <c r="J80">
        <v>1.40216809629953</v>
      </c>
      <c r="K80">
        <v>1.3833369571969</v>
      </c>
      <c r="L80">
        <v>1.36363273046115</v>
      </c>
      <c r="M80">
        <v>1.3430927766073</v>
      </c>
      <c r="N80">
        <v>1.32175917221196</v>
      </c>
      <c r="O80">
        <v>1.29967875178338</v>
      </c>
      <c r="P80">
        <v>1.27690305053473</v>
      </c>
      <c r="Q80">
        <v>1.25348813884838</v>
      </c>
      <c r="R80">
        <v>1.22949434273507</v>
      </c>
      <c r="S80">
        <v>1.20498584890658</v>
      </c>
      <c r="T80">
        <v>1.18003019799119</v>
      </c>
      <c r="U80">
        <v>1.15469767463686</v>
      </c>
      <c r="V80">
        <v>1.12906060841036</v>
      </c>
      <c r="W80">
        <v>1.10319260411746</v>
      </c>
      <c r="X80">
        <v>1.07716772405327</v>
      </c>
      <c r="Y80">
        <v>1.05105964740539</v>
      </c>
      <c r="Z80">
        <v>1.024940833334</v>
      </c>
      <c r="AA80">
        <v>0.998881714022472</v>
      </c>
      <c r="AB80">
        <v>0.972949942252477</v>
      </c>
      <c r="AC80">
        <v>0.947209714967103</v>
      </c>
      <c r="AD80">
        <v>0.921721190121436</v>
      </c>
      <c r="AE80">
        <v>0.896540009237725</v>
      </c>
      <c r="AF80">
        <v>0.871716932877139</v>
      </c>
      <c r="AG80">
        <v>0.847297591098621</v>
      </c>
      <c r="AH80">
        <v>0.823322346238291</v>
      </c>
      <c r="AI80">
        <v>0.799826261275755</v>
      </c>
      <c r="AJ80">
        <v>0.776839163831528</v>
      </c>
      <c r="AK80">
        <v>0.754385793544049</v>
      </c>
      <c r="AL80">
        <v>0.732486019202311</v>
      </c>
      <c r="AM80">
        <v>0.711155111488688</v>
      </c>
      <c r="AN80">
        <v>0.69040405739553</v>
      </c>
      <c r="AO80">
        <v>0.670239903169821</v>
      </c>
      <c r="AP80">
        <v>0.650666113855088</v>
      </c>
      <c r="AQ80" s="3"/>
      <c r="BA80">
        <v>80</v>
      </c>
      <c r="BB80" t="s">
        <v>298</v>
      </c>
    </row>
    <row r="81" spans="1:54">
      <c r="A81" s="1">
        <f t="shared" si="4"/>
        <v>49</v>
      </c>
      <c r="B81">
        <v>1.5188345723388</v>
      </c>
      <c r="C81">
        <v>1.50794883198109</v>
      </c>
      <c r="D81">
        <v>1.4960435354978</v>
      </c>
      <c r="E81">
        <v>1.4831271395919</v>
      </c>
      <c r="F81">
        <v>1.46921042135524</v>
      </c>
      <c r="G81">
        <v>1.45430683101087</v>
      </c>
      <c r="H81">
        <v>1.43843284766872</v>
      </c>
      <c r="I81">
        <v>1.42160832872909</v>
      </c>
      <c r="J81">
        <v>1.4038568420917</v>
      </c>
      <c r="K81">
        <v>1.38520596900369</v>
      </c>
      <c r="L81">
        <v>1.36568756434113</v>
      </c>
      <c r="M81">
        <v>1.34533796051184</v>
      </c>
      <c r="N81">
        <v>1.32419810114309</v>
      </c>
      <c r="O81">
        <v>1.30231359141333</v>
      </c>
      <c r="P81">
        <v>1.27973465340968</v>
      </c>
      <c r="Q81">
        <v>1.25651597730053</v>
      </c>
      <c r="R81">
        <v>1.23271646239322</v>
      </c>
      <c r="S81">
        <v>1.20839884620676</v>
      </c>
      <c r="T81">
        <v>1.18362922434715</v>
      </c>
      <c r="U81">
        <v>1.1584764689605</v>
      </c>
      <c r="V81">
        <v>1.13301155852441</v>
      </c>
      <c r="W81">
        <v>1.1073068363484</v>
      </c>
      <c r="X81">
        <v>1.08143521901918</v>
      </c>
      <c r="Y81">
        <v>1.05546937881586</v>
      </c>
      <c r="Z81">
        <v>1.02948092558833</v>
      </c>
      <c r="AA81">
        <v>1.00353961360622</v>
      </c>
      <c r="AB81">
        <v>0.97771259744547</v>
      </c>
      <c r="AC81">
        <v>0.952063758215662</v>
      </c>
      <c r="AD81">
        <v>0.926653117589484</v>
      </c>
      <c r="AE81">
        <v>0.901536352504565</v>
      </c>
      <c r="AF81">
        <v>0.876764418439042</v>
      </c>
      <c r="AG81">
        <v>0.852383284187801</v>
      </c>
      <c r="AH81">
        <v>0.828433776420826</v>
      </c>
      <c r="AI81">
        <v>0.80495152825626</v>
      </c>
      <c r="AJ81">
        <v>0.78196702281265</v>
      </c>
      <c r="AK81">
        <v>0.759505720312618</v>
      </c>
      <c r="AL81">
        <v>0.737588255806602</v>
      </c>
      <c r="AM81">
        <v>0.716230693914139</v>
      </c>
      <c r="AN81">
        <v>0.695444827035278</v>
      </c>
      <c r="AO81">
        <v>0.675238504128955</v>
      </c>
      <c r="AP81">
        <v>0.655615978239478</v>
      </c>
      <c r="AQ81" s="3"/>
      <c r="BA81">
        <v>81</v>
      </c>
      <c r="BB81" t="s">
        <v>299</v>
      </c>
    </row>
    <row r="82" spans="1:54">
      <c r="A82" s="1">
        <f t="shared" si="4"/>
        <v>49.5</v>
      </c>
      <c r="B82">
        <v>1.51935850851643</v>
      </c>
      <c r="C82">
        <v>1.5085820100055</v>
      </c>
      <c r="D82">
        <v>1.49679584667278</v>
      </c>
      <c r="E82">
        <v>1.48400822442983</v>
      </c>
      <c r="F82">
        <v>1.4702296021897</v>
      </c>
      <c r="G82">
        <v>1.45547303532602</v>
      </c>
      <c r="H82">
        <v>1.43975452260506</v>
      </c>
      <c r="I82">
        <v>1.42309334765195</v>
      </c>
      <c r="J82">
        <v>1.40551240458802</v>
      </c>
      <c r="K82">
        <v>1.38703849618878</v>
      </c>
      <c r="L82">
        <v>1.36770259188656</v>
      </c>
      <c r="M82">
        <v>1.34754003231758</v>
      </c>
      <c r="N82">
        <v>1.32659066703257</v>
      </c>
      <c r="O82">
        <v>1.304898912586</v>
      </c>
      <c r="P82">
        <v>1.28251371959712</v>
      </c>
      <c r="Q82">
        <v>1.25948843959626</v>
      </c>
      <c r="R82">
        <v>1.23588058553025</v>
      </c>
      <c r="S82">
        <v>1.21175148361948</v>
      </c>
      <c r="T82">
        <v>1.18716581867515</v>
      </c>
      <c r="U82">
        <v>1.16219107975149</v>
      </c>
      <c r="V82">
        <v>1.13689691781633</v>
      </c>
      <c r="W82">
        <v>1.11135443162209</v>
      </c>
      <c r="X82">
        <v>1.08563540179364</v>
      </c>
      <c r="Y82">
        <v>1.05981149599728</v>
      </c>
      <c r="Z82">
        <v>1.03395346966948</v>
      </c>
      <c r="AA82">
        <v>1.00813038701978</v>
      </c>
      <c r="AB82">
        <v>0.982408885860131</v>
      </c>
      <c r="AC82">
        <v>0.956852507356736</v>
      </c>
      <c r="AD82">
        <v>0.931521108268102</v>
      </c>
      <c r="AE82">
        <v>0.906470368925388</v>
      </c>
      <c r="AF82">
        <v>0.881751405477862</v>
      </c>
      <c r="AG82">
        <v>0.857410490123678</v>
      </c>
      <c r="AH82">
        <v>0.833488878501567</v>
      </c>
      <c r="AI82">
        <v>0.810022739400933</v>
      </c>
      <c r="AJ82">
        <v>0.787043178647393</v>
      </c>
      <c r="AK82">
        <v>0.764576346545674</v>
      </c>
      <c r="AL82">
        <v>0.742643616639188</v>
      </c>
      <c r="AM82">
        <v>0.721261822734791</v>
      </c>
      <c r="AN82">
        <v>0.700443541049831</v>
      </c>
      <c r="AO82">
        <v>0.680197404841248</v>
      </c>
      <c r="AP82">
        <v>0.66052843983257</v>
      </c>
      <c r="AQ82" s="3"/>
      <c r="BA82">
        <v>82</v>
      </c>
      <c r="BB82" t="s">
        <v>300</v>
      </c>
    </row>
    <row r="83" spans="1:54">
      <c r="A83" s="1">
        <f t="shared" si="4"/>
        <v>50</v>
      </c>
      <c r="B83">
        <v>1.51987199339676</v>
      </c>
      <c r="C83">
        <v>1.50920257293769</v>
      </c>
      <c r="D83">
        <v>1.49753319305566</v>
      </c>
      <c r="E83">
        <v>1.48487181866245</v>
      </c>
      <c r="F83">
        <v>1.47122860284598</v>
      </c>
      <c r="G83">
        <v>1.45661622135243</v>
      </c>
      <c r="H83">
        <v>1.4410502109577</v>
      </c>
      <c r="I83">
        <v>1.42454930319355</v>
      </c>
      <c r="J83">
        <v>1.40713574351994</v>
      </c>
      <c r="K83">
        <v>1.38883558478431</v>
      </c>
      <c r="L83">
        <v>1.36967894279796</v>
      </c>
      <c r="M83">
        <v>1.34970020122128</v>
      </c>
      <c r="N83">
        <v>1.32893815281934</v>
      </c>
      <c r="O83">
        <v>1.30743606465415</v>
      </c>
      <c r="P83">
        <v>1.28524165602529</v>
      </c>
      <c r="Q83">
        <v>1.26240698001677</v>
      </c>
      <c r="R83">
        <v>1.23898820236149</v>
      </c>
      <c r="S83">
        <v>1.21504527492583</v>
      </c>
      <c r="T83">
        <v>1.19064150530173</v>
      </c>
      <c r="U83">
        <v>1.16584302854581</v>
      </c>
      <c r="V83">
        <v>1.14071819173903</v>
      </c>
      <c r="W83">
        <v>1.11533686642302</v>
      </c>
      <c r="X83">
        <v>1.08976970776325</v>
      </c>
      <c r="Y83">
        <v>1.06408738218028</v>
      </c>
      <c r="Z83">
        <v>1.03835978693099</v>
      </c>
      <c r="AA83">
        <v>1.01265528555884</v>
      </c>
      <c r="AB83">
        <v>0.987039982227178</v>
      </c>
      <c r="AC83">
        <v>0.961577055783246</v>
      </c>
      <c r="AD83">
        <v>0.936326171164135</v>
      </c>
      <c r="AE83">
        <v>0.911342981723998</v>
      </c>
      <c r="AF83">
        <v>0.88667873156219</v>
      </c>
      <c r="AG83">
        <v>0.862379962304782</v>
      </c>
      <c r="AH83">
        <v>0.838488324356404</v>
      </c>
      <c r="AI83">
        <v>0.815040488663068</v>
      </c>
      <c r="AJ83">
        <v>0.792068151706771</v>
      </c>
      <c r="AK83">
        <v>0.76959812390747</v>
      </c>
      <c r="AL83">
        <v>0.7476524898783</v>
      </c>
      <c r="AM83">
        <v>0.726248828039362</v>
      </c>
      <c r="AN83">
        <v>0.705400476865049</v>
      </c>
      <c r="AO83">
        <v>0.68511683540601</v>
      </c>
      <c r="AP83">
        <v>0.665403686557501</v>
      </c>
      <c r="AQ83" s="3"/>
      <c r="BA83">
        <v>83</v>
      </c>
      <c r="BB83" t="s">
        <v>301</v>
      </c>
    </row>
    <row r="84" spans="1:54">
      <c r="A84" s="1">
        <f t="shared" si="4"/>
        <v>50.5</v>
      </c>
      <c r="B84">
        <v>1.52037533634701</v>
      </c>
      <c r="C84">
        <v>1.50981089359936</v>
      </c>
      <c r="D84">
        <v>1.49825601598484</v>
      </c>
      <c r="E84">
        <v>1.48571843673519</v>
      </c>
      <c r="F84">
        <v>1.47220801487543</v>
      </c>
      <c r="G84">
        <v>1.45773706102371</v>
      </c>
      <c r="H84">
        <v>1.44232066745715</v>
      </c>
      <c r="I84">
        <v>1.42597703429163</v>
      </c>
      <c r="J84">
        <v>1.40872778229884</v>
      </c>
      <c r="K84">
        <v>1.39059824166857</v>
      </c>
      <c r="L84">
        <v>1.37161770503046</v>
      </c>
      <c r="M84">
        <v>1.35181963239969</v>
      </c>
      <c r="N84">
        <v>1.33124179553692</v>
      </c>
      <c r="O84">
        <v>1.30992634963546</v>
      </c>
      <c r="P84">
        <v>1.28791982137067</v>
      </c>
      <c r="Q84">
        <v>1.26527300423187</v>
      </c>
      <c r="R84">
        <v>1.24204075471609</v>
      </c>
      <c r="S84">
        <v>1.21828168633969</v>
      </c>
      <c r="T84">
        <v>1.19405776238739</v>
      </c>
      <c r="U84">
        <v>1.16943379266467</v>
      </c>
      <c r="V84">
        <v>1.14447684398005</v>
      </c>
      <c r="W84">
        <v>1.11925557834849</v>
      </c>
      <c r="X84">
        <v>1.09383953665141</v>
      </c>
      <c r="Y84">
        <v>1.06829838840938</v>
      </c>
      <c r="Z84">
        <v>1.04270117017337</v>
      </c>
      <c r="AA84">
        <v>1.01711553565852</v>
      </c>
      <c r="AB84">
        <v>0.991607040077183</v>
      </c>
      <c r="AC84">
        <v>0.966238479234055</v>
      </c>
      <c r="AD84">
        <v>0.941069300992057</v>
      </c>
      <c r="AE84">
        <v>0.916155102953264</v>
      </c>
      <c r="AF84">
        <v>0.891547225930042</v>
      </c>
      <c r="AG84">
        <v>0.867292448332445</v>
      </c>
      <c r="AH84">
        <v>0.843432782278352</v>
      </c>
      <c r="AI84">
        <v>0.820005368308483</v>
      </c>
      <c r="AJ84">
        <v>0.797042462261057</v>
      </c>
      <c r="AK84">
        <v>0.774571505257724</v>
      </c>
      <c r="AL84">
        <v>0.752615265927095</v>
      </c>
      <c r="AM84">
        <v>0.731192042931569</v>
      </c>
      <c r="AN84">
        <v>0.710315915501569</v>
      </c>
      <c r="AO84">
        <v>0.689997029916164</v>
      </c>
      <c r="AP84">
        <v>0.670241910577321</v>
      </c>
      <c r="AQ84" s="3"/>
      <c r="BA84">
        <v>84</v>
      </c>
      <c r="BB84" t="s">
        <v>302</v>
      </c>
    </row>
    <row r="85" spans="1:54">
      <c r="A85" s="1">
        <f t="shared" si="4"/>
        <v>51</v>
      </c>
      <c r="B85">
        <v>1.52086883465377</v>
      </c>
      <c r="C85">
        <v>1.51040733028236</v>
      </c>
      <c r="D85">
        <v>1.49896473964306</v>
      </c>
      <c r="E85">
        <v>1.48654857316228</v>
      </c>
      <c r="F85">
        <v>1.47316840700651</v>
      </c>
      <c r="G85">
        <v>1.45883620048333</v>
      </c>
      <c r="H85">
        <v>1.44356661804863</v>
      </c>
      <c r="I85">
        <v>1.42737734813036</v>
      </c>
      <c r="J85">
        <v>1.41028940970209</v>
      </c>
      <c r="K85">
        <v>1.39232743635948</v>
      </c>
      <c r="L85">
        <v>1.37351992667615</v>
      </c>
      <c r="M85">
        <v>1.35389944895802</v>
      </c>
      <c r="N85">
        <v>1.33350278830191</v>
      </c>
      <c r="O85">
        <v>1.31237102421219</v>
      </c>
      <c r="P85">
        <v>1.29054952803794</v>
      </c>
      <c r="Q85">
        <v>1.26808787122862</v>
      </c>
      <c r="R85">
        <v>1.24503963788337</v>
      </c>
      <c r="S85">
        <v>1.22146213824259</v>
      </c>
      <c r="T85">
        <v>1.1974160235242</v>
      </c>
      <c r="U85">
        <v>1.1729648066533</v>
      </c>
      <c r="V85">
        <v>1.14817429772542</v>
      </c>
      <c r="W85">
        <v>1.12311196718751</v>
      </c>
      <c r="X85">
        <v>1.0978462534081</v>
      </c>
      <c r="Y85">
        <v>1.07244583424584</v>
      </c>
      <c r="Z85">
        <v>1.0469788841678</v>
      </c>
      <c r="AA85">
        <v>1.02151233925047</v>
      </c>
      <c r="AB85">
        <v>0.996111191947359</v>
      </c>
      <c r="AC85">
        <v>0.970837835869335</v>
      </c>
      <c r="AD85">
        <v>0.945751478138337</v>
      </c>
      <c r="AE85">
        <v>0.920907633369268</v>
      </c>
      <c r="AF85">
        <v>0.896357709293027</v>
      </c>
      <c r="AG85">
        <v>0.872148689763866</v>
      </c>
      <c r="AH85">
        <v>0.848322916696485</v>
      </c>
      <c r="AI85">
        <v>0.824917968615055</v>
      </c>
      <c r="AJ85">
        <v>0.801966630172221</v>
      </c>
      <c r="AK85">
        <v>0.779496944346865</v>
      </c>
      <c r="AL85">
        <v>0.757532337119317</v>
      </c>
      <c r="AM85">
        <v>0.736091803251727</v>
      </c>
      <c r="AN85">
        <v>0.715190141316069</v>
      </c>
      <c r="AO85">
        <v>0.694838226221358</v>
      </c>
      <c r="AP85">
        <v>0.675043308080938</v>
      </c>
      <c r="AQ85" s="3"/>
      <c r="BA85">
        <v>85</v>
      </c>
      <c r="BB85" t="s">
        <v>303</v>
      </c>
    </row>
    <row r="86" spans="1:54">
      <c r="A86" s="1">
        <f t="shared" si="4"/>
        <v>51.5</v>
      </c>
      <c r="B86">
        <v>1.52135277410645</v>
      </c>
      <c r="C86">
        <v>1.51099222744884</v>
      </c>
      <c r="D86">
        <v>1.49965977188147</v>
      </c>
      <c r="E86">
        <v>1.48736270348046</v>
      </c>
      <c r="F86">
        <v>1.47411032623151</v>
      </c>
      <c r="G86">
        <v>1.45991426130504</v>
      </c>
      <c r="H86">
        <v>1.44478876124392</v>
      </c>
      <c r="I86">
        <v>1.42875102161787</v>
      </c>
      <c r="J86">
        <v>1.41182148146697</v>
      </c>
      <c r="K86">
        <v>1.39402410271161</v>
      </c>
      <c r="L86">
        <v>1.37538661774695</v>
      </c>
      <c r="M86">
        <v>1.35594073377788</v>
      </c>
      <c r="N86">
        <v>1.33572228220266</v>
      </c>
      <c r="O86">
        <v>1.31477130163352</v>
      </c>
      <c r="P86">
        <v>1.29313204404711</v>
      </c>
      <c r="Q86">
        <v>1.27085289515367</v>
      </c>
      <c r="R86">
        <v>1.24798620238083</v>
      </c>
      <c r="S86">
        <v>1.22458800684984</v>
      </c>
      <c r="T86">
        <v>1.2007176792751</v>
      </c>
      <c r="U86">
        <v>1.1764374636726</v>
      </c>
      <c r="V86">
        <v>1.15181193688765</v>
      </c>
      <c r="W86">
        <v>1.12690739597457</v>
      </c>
      <c r="X86">
        <v>1.10179118908504</v>
      </c>
      <c r="Y86">
        <v>1.07653100846524</v>
      </c>
      <c r="Z86">
        <v>1.0511941661826</v>
      </c>
      <c r="AA86">
        <v>1.02584687412928</v>
      </c>
      <c r="AB86">
        <v>1.00055354960267</v>
      </c>
      <c r="AC86">
        <v>0.975376166363903</v>
      </c>
      <c r="AD86">
        <v>0.950373668646037</v>
      </c>
      <c r="AE86">
        <v>0.925601462326758</v>
      </c>
      <c r="AF86">
        <v>0.901110993661866</v>
      </c>
      <c r="AG86">
        <v>0.876949421885767</v>
      </c>
      <c r="AH86">
        <v>0.853159387914145</v>
      </c>
      <c r="AI86">
        <v>0.829778877589798</v>
      </c>
      <c r="AJ86">
        <v>0.806841174601977</v>
      </c>
      <c r="AK86">
        <v>0.784374895524849</v>
      </c>
      <c r="AL86">
        <v>0.762404097436517</v>
      </c>
      <c r="AM86">
        <v>0.740948447308007</v>
      </c>
      <c r="AN86">
        <v>0.720023441750428</v>
      </c>
      <c r="AO86">
        <v>0.699640665697434</v>
      </c>
      <c r="AP86">
        <v>0.679808079074043</v>
      </c>
      <c r="AQ86" s="3"/>
      <c r="BA86">
        <v>86</v>
      </c>
      <c r="BB86" t="s">
        <v>304</v>
      </c>
    </row>
    <row r="87" spans="1:54">
      <c r="A87" s="1">
        <f t="shared" si="4"/>
        <v>52</v>
      </c>
      <c r="B87">
        <v>1.52182742954736</v>
      </c>
      <c r="C87">
        <v>1.51156591639134</v>
      </c>
      <c r="D87">
        <v>1.50034150499688</v>
      </c>
      <c r="E87">
        <v>1.48816128514859</v>
      </c>
      <c r="F87">
        <v>1.47503429883184</v>
      </c>
      <c r="G87">
        <v>1.46097184164479</v>
      </c>
      <c r="H87">
        <v>1.44598776939805</v>
      </c>
      <c r="I87">
        <v>1.43009880278263</v>
      </c>
      <c r="J87">
        <v>1.41332482179817</v>
      </c>
      <c r="K87">
        <v>1.39568914052265</v>
      </c>
      <c r="L87">
        <v>1.37721875186422</v>
      </c>
      <c r="M87">
        <v>1.35794453127057</v>
      </c>
      <c r="N87">
        <v>1.33790138809367</v>
      </c>
      <c r="O87">
        <v>1.31712835352592</v>
      </c>
      <c r="P87">
        <v>1.29566859483278</v>
      </c>
      <c r="Q87">
        <v>1.27356934707329</v>
      </c>
      <c r="R87">
        <v>1.25088175564744</v>
      </c>
      <c r="S87">
        <v>1.22766062581049</v>
      </c>
      <c r="T87">
        <v>1.20396407865673</v>
      </c>
      <c r="U87">
        <v>1.1798531168446</v>
      </c>
      <c r="V87">
        <v>1.15539110729811</v>
      </c>
      <c r="W87">
        <v>1.13064319201841</v>
      </c>
      <c r="X87">
        <v>1.10567564169542</v>
      </c>
      <c r="Y87">
        <v>1.08055516974857</v>
      </c>
      <c r="Z87">
        <v>1.05534822651087</v>
      </c>
      <c r="AA87">
        <v>1.0301202943265</v>
      </c>
      <c r="AB87">
        <v>1.00493520426967</v>
      </c>
      <c r="AC87">
        <v>0.979854494016944</v>
      </c>
      <c r="AD87">
        <v>0.95493682421816</v>
      </c>
      <c r="AE87">
        <v>0.93023746769455</v>
      </c>
      <c r="AF87">
        <v>0.905807882192075</v>
      </c>
      <c r="AG87">
        <v>0.881695373507678</v>
      </c>
      <c r="AH87">
        <v>0.857942851865604</v>
      </c>
      <c r="AI87">
        <v>0.834588680702846</v>
      </c>
      <c r="AJ87">
        <v>0.811666613734927</v>
      </c>
      <c r="AK87">
        <v>0.789205813463177</v>
      </c>
      <c r="AL87">
        <v>0.767230942236572</v>
      </c>
      <c r="AM87">
        <v>0.74576231561718</v>
      </c>
      <c r="AN87">
        <v>0.724816107088718</v>
      </c>
      <c r="AO87">
        <v>0.704404593022204</v>
      </c>
      <c r="AP87">
        <v>0.684536427175048</v>
      </c>
      <c r="AQ87" s="3"/>
      <c r="BA87">
        <v>87</v>
      </c>
      <c r="BB87" t="s">
        <v>305</v>
      </c>
    </row>
    <row r="88" spans="1:54">
      <c r="A88" s="1">
        <f t="shared" si="4"/>
        <v>52.5</v>
      </c>
      <c r="B88">
        <v>1.52229306539045</v>
      </c>
      <c r="C88">
        <v>1.5121287158555</v>
      </c>
      <c r="D88">
        <v>1.50101031646502</v>
      </c>
      <c r="E88">
        <v>1.48894475839664</v>
      </c>
      <c r="F88">
        <v>1.47594083134612</v>
      </c>
      <c r="G88">
        <v>1.46200951732885</v>
      </c>
      <c r="H88">
        <v>1.44716428991578</v>
      </c>
      <c r="I88">
        <v>1.43142141209388</v>
      </c>
      <c r="J88">
        <v>1.41480022479431</v>
      </c>
      <c r="K88">
        <v>1.39732341705483</v>
      </c>
      <c r="L88">
        <v>1.37901726786044</v>
      </c>
      <c r="M88">
        <v>1.35991184904113</v>
      </c>
      <c r="N88">
        <v>1.34004117830105</v>
      </c>
      <c r="O88">
        <v>1.3194433116164</v>
      </c>
      <c r="P88">
        <v>1.29816036495986</v>
      </c>
      <c r="Q88">
        <v>1.27623845665532</v>
      </c>
      <c r="R88">
        <v>1.25372756366534</v>
      </c>
      <c r="S88">
        <v>1.23068128774388</v>
      </c>
      <c r="T88">
        <v>1.20715653056788</v>
      </c>
      <c r="U88">
        <v>1.18321308055323</v>
      </c>
      <c r="V88">
        <v>1.15891311786459</v>
      </c>
      <c r="W88">
        <v>1.13432064790556</v>
      </c>
      <c r="X88">
        <v>1.10950087705791</v>
      </c>
      <c r="Y88">
        <v>1.08451954736594</v>
      </c>
      <c r="Z88">
        <v>1.05944224899831</v>
      </c>
      <c r="AA88">
        <v>1.03433373049107</v>
      </c>
      <c r="AB88">
        <v>1.00925722688166</v>
      </c>
      <c r="AC88">
        <v>0.984273824876666</v>
      </c>
      <c r="AD88">
        <v>0.959441882238346</v>
      </c>
      <c r="AE88">
        <v>0.934816515789599</v>
      </c>
      <c r="AF88">
        <v>0.910449169048696</v>
      </c>
      <c r="AG88">
        <v>0.886387266773849</v>
      </c>
      <c r="AH88">
        <v>0.862673959890386</v>
      </c>
      <c r="AI88">
        <v>0.839347960637702</v>
      </c>
      <c r="AJ88">
        <v>0.816443464516322</v>
      </c>
      <c r="AK88">
        <v>0.793990152889758</v>
      </c>
      <c r="AL88">
        <v>0.772013267993273</v>
      </c>
      <c r="AM88">
        <v>0.7505337506547</v>
      </c>
      <c r="AN88">
        <v>0.729568430221912</v>
      </c>
      <c r="AO88">
        <v>0.709130255957516</v>
      </c>
      <c r="AP88">
        <v>0.689228559416026</v>
      </c>
      <c r="AQ88" s="3"/>
      <c r="BA88">
        <v>88</v>
      </c>
      <c r="BB88" t="s">
        <v>306</v>
      </c>
    </row>
    <row r="89" spans="1:54">
      <c r="A89" s="1">
        <f t="shared" si="4"/>
        <v>53</v>
      </c>
      <c r="B89">
        <v>1.5227499361109</v>
      </c>
      <c r="C89">
        <v>1.5126809326278</v>
      </c>
      <c r="D89">
        <v>1.5016665696328</v>
      </c>
      <c r="E89">
        <v>1.48971354702748</v>
      </c>
      <c r="F89">
        <v>1.47683041148454</v>
      </c>
      <c r="G89">
        <v>1.46302784288195</v>
      </c>
      <c r="H89">
        <v>1.44831894639232</v>
      </c>
      <c r="I89">
        <v>1.43271954371064</v>
      </c>
      <c r="J89">
        <v>1.41624845579833</v>
      </c>
      <c r="K89">
        <v>1.39892776847641</v>
      </c>
      <c r="L89">
        <v>1.38078307129837</v>
      </c>
      <c r="M89">
        <v>1.3618436594684</v>
      </c>
      <c r="N89">
        <v>1.34214268824392</v>
      </c>
      <c r="O89">
        <v>1.32171726937338</v>
      </c>
      <c r="P89">
        <v>1.30060849976007</v>
      </c>
      <c r="Q89">
        <v>1.27886141377653</v>
      </c>
      <c r="R89">
        <v>1.25652485251336</v>
      </c>
      <c r="S89">
        <v>1.2336512457152</v>
      </c>
      <c r="T89">
        <v>1.21029630516537</v>
      </c>
      <c r="U89">
        <v>1.18651863170145</v>
      </c>
      <c r="V89">
        <v>1.16237924169457</v>
      </c>
      <c r="W89">
        <v>1.13794102247887</v>
      </c>
      <c r="X89">
        <v>1.11326812962432</v>
      </c>
      <c r="Y89">
        <v>1.08842534185219</v>
      </c>
      <c r="Z89">
        <v>1.06347739156998</v>
      </c>
      <c r="AA89">
        <v>1.03848829027473</v>
      </c>
      <c r="AB89">
        <v>1.0135206683337</v>
      </c>
      <c r="AC89">
        <v>0.988635147878488</v>
      </c>
      <c r="AD89">
        <v>0.96388976580759</v>
      </c>
      <c r="AE89">
        <v>0.939339461328506</v>
      </c>
      <c r="AF89">
        <v>0.915035639288977</v>
      </c>
      <c r="AG89">
        <v>0.891025816992872</v>
      </c>
      <c r="AH89">
        <v>0.867353358524476</v>
      </c>
      <c r="AI89">
        <v>0.844057297057122</v>
      </c>
      <c r="AJ89">
        <v>0.82117224240396</v>
      </c>
      <c r="AK89">
        <v>0.798728368336253</v>
      </c>
      <c r="AL89">
        <v>0.776751472046704</v>
      </c>
      <c r="AM89">
        <v>0.755263096613948</v>
      </c>
      <c r="AN89">
        <v>0.734280706420236</v>
      </c>
      <c r="AO89">
        <v>0.713817905137547</v>
      </c>
      <c r="AP89">
        <v>0.693884686048643</v>
      </c>
      <c r="AQ89" s="3"/>
      <c r="BA89">
        <v>89</v>
      </c>
      <c r="BB89" t="s">
        <v>307</v>
      </c>
    </row>
    <row r="90" spans="1:54">
      <c r="A90" s="1">
        <f t="shared" si="4"/>
        <v>53.5</v>
      </c>
      <c r="B90">
        <v>1.52319828670741</v>
      </c>
      <c r="C90">
        <v>1.51322286209059</v>
      </c>
      <c r="D90">
        <v>1.50231061437216</v>
      </c>
      <c r="E90">
        <v>1.49046805917431</v>
      </c>
      <c r="F90">
        <v>1.47770350899306</v>
      </c>
      <c r="G90">
        <v>1.46402735249946</v>
      </c>
      <c r="H90">
        <v>1.44945233969225</v>
      </c>
      <c r="I90">
        <v>1.433993866664</v>
      </c>
      <c r="J90">
        <v>1.41767025267653</v>
      </c>
      <c r="K90">
        <v>1.40050300122813</v>
      </c>
      <c r="L90">
        <v>1.38251703591233</v>
      </c>
      <c r="M90">
        <v>1.36374090120583</v>
      </c>
      <c r="N90">
        <v>1.34420691797656</v>
      </c>
      <c r="O90">
        <v>1.32395128356958</v>
      </c>
      <c r="P90">
        <v>1.30301410689332</v>
      </c>
      <c r="Q90">
        <v>1.28143937005913</v>
      </c>
      <c r="R90">
        <v>1.25927480985513</v>
      </c>
      <c r="S90">
        <v>1.23657171465273</v>
      </c>
      <c r="T90">
        <v>1.21338463518918</v>
      </c>
      <c r="U90">
        <v>1.18977101092612</v>
      </c>
      <c r="V90">
        <v>1.1657907171848</v>
      </c>
      <c r="W90">
        <v>1.14150554179108</v>
      </c>
      <c r="X90">
        <v>1.11697860329067</v>
      </c>
      <c r="Y90">
        <v>1.09227372567356</v>
      </c>
      <c r="Z90">
        <v>1.06745478675512</v>
      </c>
      <c r="AA90">
        <v>1.04258505872138</v>
      </c>
      <c r="AB90">
        <v>1.01772655974627</v>
      </c>
      <c r="AC90">
        <v>0.992939434995482</v>
      </c>
      <c r="AD90">
        <v>0.968281383795725</v>
      </c>
      <c r="AE90">
        <v>0.943807147395309</v>
      </c>
      <c r="AF90">
        <v>0.919568068761948</v>
      </c>
      <c r="AG90">
        <v>0.895611732484103</v>
      </c>
      <c r="AH90">
        <v>0.871981689307643</v>
      </c>
      <c r="AI90">
        <v>0.848717266384031</v>
      </c>
      <c r="AJ90">
        <v>0.825853461133731</v>
      </c>
      <c r="AK90">
        <v>0.803420913897554</v>
      </c>
      <c r="AL90">
        <v>0.781445952364175</v>
      </c>
      <c r="AM90">
        <v>0.75995069917448</v>
      </c>
      <c r="AN90">
        <v>0.738953233113041</v>
      </c>
      <c r="AO90">
        <v>0.718467793863291</v>
      </c>
      <c r="AP90">
        <v>0.698505020355078</v>
      </c>
      <c r="AQ90" s="3"/>
      <c r="BA90">
        <v>90</v>
      </c>
      <c r="BB90" t="s">
        <v>308</v>
      </c>
    </row>
    <row r="91" spans="1:54">
      <c r="A91" s="1">
        <f t="shared" si="4"/>
        <v>54</v>
      </c>
      <c r="B91">
        <v>1.52363835313891</v>
      </c>
      <c r="C91">
        <v>1.51375478874656</v>
      </c>
      <c r="D91">
        <v>1.5029427876981</v>
      </c>
      <c r="E91">
        <v>1.49120868801669</v>
      </c>
      <c r="F91">
        <v>1.47856057647061</v>
      </c>
      <c r="G91">
        <v>1.46500856096696</v>
      </c>
      <c r="H91">
        <v>1.45056504897077</v>
      </c>
      <c r="I91">
        <v>1.43524502597658</v>
      </c>
      <c r="J91">
        <v>1.41906632703055</v>
      </c>
      <c r="K91">
        <v>1.40204989331895</v>
      </c>
      <c r="L91">
        <v>1.38422000497633</v>
      </c>
      <c r="M91">
        <v>1.36560448060756</v>
      </c>
      <c r="N91">
        <v>1.34623483365555</v>
      </c>
      <c r="O91">
        <v>1.32614637577101</v>
      </c>
      <c r="P91">
        <v>1.3053782578377</v>
      </c>
      <c r="Q91">
        <v>1.28397344033988</v>
      </c>
      <c r="R91">
        <v>1.26197858636503</v>
      </c>
      <c r="S91">
        <v>1.23944387270887</v>
      </c>
      <c r="T91">
        <v>1.21642271723876</v>
      </c>
      <c r="U91">
        <v>1.19297142377174</v>
      </c>
      <c r="V91">
        <v>1.16914874907802</v>
      </c>
      <c r="W91">
        <v>1.14501540003366</v>
      </c>
      <c r="X91">
        <v>1.1206334721915</v>
      </c>
      <c r="Y91">
        <v>1.09606584388497</v>
      </c>
      <c r="Z91">
        <v>1.07137554220904</v>
      </c>
      <c r="AA91">
        <v>1.04662509865919</v>
      </c>
      <c r="AB91">
        <v>1.02187591273636</v>
      </c>
      <c r="AC91">
        <v>0.997187641399846</v>
      </c>
      <c r="AD91">
        <v>0.972617630906483</v>
      </c>
      <c r="AE91">
        <v>0.948220405424437</v>
      </c>
      <c r="AF91">
        <v>0.924047224023911</v>
      </c>
      <c r="AG91">
        <v>0.900145714440021</v>
      </c>
      <c r="AH91">
        <v>0.876559588606161</v>
      </c>
      <c r="AI91">
        <v>0.853328441596863</v>
      </c>
      <c r="AJ91">
        <v>0.830487632498339</v>
      </c>
      <c r="AK91">
        <v>0.808068243003015</v>
      </c>
      <c r="AL91">
        <v>0.786097107311438</v>
      </c>
      <c r="AM91">
        <v>0.764596905279083</v>
      </c>
      <c r="AN91">
        <v>0.743586309676097</v>
      </c>
      <c r="AO91">
        <v>0.723080177903156</v>
      </c>
      <c r="AP91">
        <v>0.703089778463906</v>
      </c>
      <c r="AQ91" s="3"/>
      <c r="BA91">
        <v>91</v>
      </c>
      <c r="BB91" t="s">
        <v>309</v>
      </c>
    </row>
    <row r="92" spans="1:54">
      <c r="A92" s="1">
        <f t="shared" si="4"/>
        <v>54.5</v>
      </c>
      <c r="B92">
        <v>1.52407036273735</v>
      </c>
      <c r="C92">
        <v>1.51427698671454</v>
      </c>
      <c r="D92">
        <v>1.50356341435292</v>
      </c>
      <c r="E92">
        <v>1.49193581245776</v>
      </c>
      <c r="F92">
        <v>1.4794020501422</v>
      </c>
      <c r="G92">
        <v>1.46597196453051</v>
      </c>
      <c r="H92">
        <v>1.45165763264044</v>
      </c>
      <c r="I92">
        <v>1.43647364372306</v>
      </c>
      <c r="J92">
        <v>1.42043736534622</v>
      </c>
      <c r="K92">
        <v>1.4035691955554</v>
      </c>
      <c r="L92">
        <v>1.38589279260312</v>
      </c>
      <c r="M92">
        <v>1.36743527308398</v>
      </c>
      <c r="N92">
        <v>1.34822736893601</v>
      </c>
      <c r="O92">
        <v>1.32830353375612</v>
      </c>
      <c r="P92">
        <v>1.30770198931182</v>
      </c>
      <c r="Q92">
        <v>1.28646470407482</v>
      </c>
      <c r="R92">
        <v>1.26463729709451</v>
      </c>
      <c r="S92">
        <v>1.24226886256754</v>
      </c>
      <c r="T92">
        <v>1.21941171300215</v>
      </c>
      <c r="U92">
        <v>1.19612104182432</v>
      </c>
      <c r="V92">
        <v>1.17245450948742</v>
      </c>
      <c r="W92">
        <v>1.14847176044106</v>
      </c>
      <c r="X92">
        <v>1.12423388147702</v>
      </c>
      <c r="Y92">
        <v>1.09980281477723</v>
      </c>
      <c r="Z92">
        <v>1.07524074123145</v>
      </c>
      <c r="AA92">
        <v>1.05060945109455</v>
      </c>
      <c r="AB92">
        <v>1.025969719695</v>
      </c>
      <c r="AC92">
        <v>1.00138070563429</v>
      </c>
      <c r="AD92">
        <v>0.976899387755043</v>
      </c>
      <c r="AE92">
        <v>0.95258005519779</v>
      </c>
      <c r="AF92">
        <v>0.928473862268884</v>
      </c>
      <c r="AG92">
        <v>0.904628456803667</v>
      </c>
      <c r="AH92">
        <v>0.881087687450196</v>
      </c>
      <c r="AI92">
        <v>0.857891392038738</v>
      </c>
      <c r="AJ92">
        <v>0.835075266138742</v>
      </c>
      <c r="AK92">
        <v>0.812670808199102</v>
      </c>
      <c r="AL92">
        <v>0.790705335433923</v>
      </c>
      <c r="AM92">
        <v>0.769202062919461</v>
      </c>
      <c r="AN92">
        <v>0.748180237226176</v>
      </c>
      <c r="AO92">
        <v>0.727655315299632</v>
      </c>
      <c r="AP92">
        <v>0.707639179170915</v>
      </c>
      <c r="AQ92" s="3"/>
      <c r="BA92">
        <v>92</v>
      </c>
      <c r="BB92" t="s">
        <v>310</v>
      </c>
    </row>
    <row r="93" spans="1:54">
      <c r="A93" s="1">
        <f t="shared" si="4"/>
        <v>55</v>
      </c>
      <c r="B93">
        <v>1.52449453459818</v>
      </c>
      <c r="C93">
        <v>1.51478972019845</v>
      </c>
      <c r="D93">
        <v>1.50417280735901</v>
      </c>
      <c r="E93">
        <v>1.49264979776504</v>
      </c>
      <c r="F93">
        <v>1.48022835059063</v>
      </c>
      <c r="G93">
        <v>1.46691804172078</v>
      </c>
      <c r="H93">
        <v>1.4527306292872</v>
      </c>
      <c r="I93">
        <v>1.4376803200354</v>
      </c>
      <c r="J93">
        <v>1.42178403008324</v>
      </c>
      <c r="K93">
        <v>1.40506163270831</v>
      </c>
      <c r="L93">
        <v>1.38753618497826</v>
      </c>
      <c r="M93">
        <v>1.36923412439075</v>
      </c>
      <c r="N93">
        <v>1.35018542630095</v>
      </c>
      <c r="O93">
        <v>1.33042371286858</v>
      </c>
      <c r="P93">
        <v>1.30998630463268</v>
      </c>
      <c r="Q93">
        <v>1.28891420668298</v>
      </c>
      <c r="R93">
        <v>1.26725202278148</v>
      </c>
      <c r="S93">
        <v>1.24504779269992</v>
      </c>
      <c r="T93">
        <v>1.22235275043975</v>
      </c>
      <c r="U93">
        <v>1.19922100380673</v>
      </c>
      <c r="V93">
        <v>1.17570913888967</v>
      </c>
      <c r="W93">
        <v>1.15187575617086</v>
      </c>
      <c r="X93">
        <v>1.12778094807328</v>
      </c>
      <c r="Y93">
        <v>1.10348573051386</v>
      </c>
      <c r="Z93">
        <v>1.07905144328029</v>
      </c>
      <c r="AA93">
        <v>1.05453913560698</v>
      </c>
      <c r="AB93">
        <v>1.03000895407003</v>
      </c>
      <c r="AC93">
        <v>1.00551954979227</v>
      </c>
      <c r="AD93">
        <v>0.981127520956982</v>
      </c>
      <c r="AE93">
        <v>0.956886904854935</v>
      </c>
      <c r="AF93">
        <v>0.932848731273073</v>
      </c>
      <c r="AG93">
        <v>0.90906064616038</v>
      </c>
      <c r="AH93">
        <v>0.885566611385184</v>
      </c>
      <c r="AI93">
        <v>0.862406683239909</v>
      </c>
      <c r="AJ93">
        <v>0.83961686934784</v>
      </c>
      <c r="AK93">
        <v>0.817229060943083</v>
      </c>
      <c r="AL93">
        <v>0.795271035247729</v>
      </c>
      <c r="AM93">
        <v>0.773766520930376</v>
      </c>
      <c r="AN93">
        <v>0.752735318422816</v>
      </c>
      <c r="AO93">
        <v>0.732193466181929</v>
      </c>
      <c r="AP93">
        <v>0.712153443764823</v>
      </c>
      <c r="AQ93" s="3"/>
      <c r="BA93">
        <v>93</v>
      </c>
      <c r="BB93" t="s">
        <v>311</v>
      </c>
    </row>
    <row r="94" spans="1:54">
      <c r="A94" s="1">
        <f t="shared" si="4"/>
        <v>55.5</v>
      </c>
      <c r="B94">
        <v>1.52491107994969</v>
      </c>
      <c r="C94">
        <v>1.51529324393109</v>
      </c>
      <c r="D94">
        <v>1.50477126854211</v>
      </c>
      <c r="E94">
        <v>1.49335099617714</v>
      </c>
      <c r="F94">
        <v>1.48103988344951</v>
      </c>
      <c r="G94">
        <v>1.46784725413365</v>
      </c>
      <c r="H94">
        <v>1.45378455853833</v>
      </c>
      <c r="I94">
        <v>1.43886563405594</v>
      </c>
      <c r="J94">
        <v>1.42310696070897</v>
      </c>
      <c r="K94">
        <v>1.40652790462063</v>
      </c>
      <c r="L94">
        <v>1.38915094153286</v>
      </c>
      <c r="M94">
        <v>1.37100185185499</v>
      </c>
      <c r="N94">
        <v>1.35210987832717</v>
      </c>
      <c r="O94">
        <v>1.33250783730729</v>
      </c>
      <c r="P94">
        <v>1.31223217501264</v>
      </c>
      <c r="Q94">
        <v>1.29132296083169</v>
      </c>
      <c r="R94">
        <v>1.26982381110551</v>
      </c>
      <c r="S94">
        <v>1.24778173857077</v>
      </c>
      <c r="T94">
        <v>1.22524692492427</v>
      </c>
      <c r="U94">
        <v>1.2022724166365</v>
      </c>
      <c r="V94">
        <v>1.17891374708717</v>
      </c>
      <c r="W94">
        <v>1.15522849115995</v>
      </c>
      <c r="X94">
        <v>1.13127576142509</v>
      </c>
      <c r="Y94">
        <v>1.10711565775708</v>
      </c>
      <c r="Z94">
        <v>1.08280868448073</v>
      </c>
      <c r="AA94">
        <v>1.05841515074415</v>
      </c>
      <c r="AB94">
        <v>1.03399457065343</v>
      </c>
      <c r="AC94">
        <v>1.00960507970609</v>
      </c>
      <c r="AD94">
        <v>0.985302883227673</v>
      </c>
      <c r="AE94">
        <v>0.961141750915478</v>
      </c>
      <c r="AF94">
        <v>0.93717256935252</v>
      </c>
      <c r="AG94">
        <v>0.913442961643029</v>
      </c>
      <c r="AH94">
        <v>0.889996980336523</v>
      </c>
      <c r="AI94">
        <v>0.866874876752911</v>
      </c>
      <c r="AJ94">
        <v>0.844112946885963</v>
      </c>
      <c r="AK94">
        <v>0.821743451407424</v>
      </c>
      <c r="AL94">
        <v>0.799794605040114</v>
      </c>
      <c r="AM94">
        <v>0.778290628792037</v>
      </c>
      <c r="AN94">
        <v>0.757251857277129</v>
      </c>
      <c r="AO94">
        <v>0.736694892584536</v>
      </c>
      <c r="AP94">
        <v>0.716632795857862</v>
      </c>
      <c r="AQ94" s="3"/>
      <c r="BA94">
        <v>94</v>
      </c>
      <c r="BB94" t="s">
        <v>312</v>
      </c>
    </row>
    <row r="95" spans="1:54">
      <c r="A95" s="1">
        <f t="shared" si="4"/>
        <v>56</v>
      </c>
      <c r="B95">
        <v>1.52532020250279</v>
      </c>
      <c r="C95">
        <v>1.51578780359437</v>
      </c>
      <c r="D95">
        <v>1.5053590890267</v>
      </c>
      <c r="E95">
        <v>1.49403974747832</v>
      </c>
      <c r="F95">
        <v>1.48183704005982</v>
      </c>
      <c r="G95">
        <v>1.46876004717017</v>
      </c>
      <c r="H95">
        <v>1.45481992188553</v>
      </c>
      <c r="I95">
        <v>1.44003014484164</v>
      </c>
      <c r="J95">
        <v>1.42440677467982</v>
      </c>
      <c r="K95">
        <v>1.40796868725976</v>
      </c>
      <c r="L95">
        <v>1.39073779605843</v>
      </c>
      <c r="M95">
        <v>1.37273924554206</v>
      </c>
      <c r="N95">
        <v>1.35400156889128</v>
      </c>
      <c r="O95">
        <v>1.33455680135694</v>
      </c>
      <c r="P95">
        <v>1.31444054079816</v>
      </c>
      <c r="Q95">
        <v>1.29369194766654</v>
      </c>
      <c r="R95">
        <v>1.27235367789099</v>
      </c>
      <c r="S95">
        <v>1.25047174379737</v>
      </c>
      <c r="T95">
        <v>1.22809530033869</v>
      </c>
      <c r="U95">
        <v>1.20527635644747</v>
      </c>
      <c r="V95">
        <v>1.18206941414042</v>
      </c>
      <c r="W95">
        <v>1.15853104095722</v>
      </c>
      <c r="X95">
        <v>1.13471938422179</v>
      </c>
      <c r="Y95">
        <v>1.11069363828273</v>
      </c>
      <c r="Z95">
        <v>1.08651347812851</v>
      </c>
      <c r="AA95">
        <v>1.06223847441631</v>
      </c>
      <c r="AB95">
        <v>1.0379275058721</v>
      </c>
      <c r="AC95">
        <v>1.01363818514196</v>
      </c>
      <c r="AD95">
        <v>0.989426313491184</v>
      </c>
      <c r="AE95">
        <v>0.965345378312717</v>
      </c>
      <c r="AF95">
        <v>0.94144610533308</v>
      </c>
      <c r="AG95">
        <v>0.917776074850016</v>
      </c>
      <c r="AH95">
        <v>0.894379408486929</v>
      </c>
      <c r="AI95">
        <v>0.871296529999878</v>
      </c>
      <c r="AJ95">
        <v>0.848564000807714</v>
      </c>
      <c r="AK95">
        <v>0.826214428294531</v>
      </c>
      <c r="AL95">
        <v>0.804276442679206</v>
      </c>
      <c r="AM95">
        <v>0.782774736440557</v>
      </c>
      <c r="AN95">
        <v>0.761730158967531</v>
      </c>
      <c r="AO95">
        <v>0.741159858271597</v>
      </c>
      <c r="AP95">
        <v>0.721077461221185</v>
      </c>
      <c r="AQ95" s="3"/>
      <c r="BA95">
        <v>95</v>
      </c>
      <c r="BB95" t="s">
        <v>313</v>
      </c>
    </row>
    <row r="96" spans="1:54">
      <c r="A96" s="1">
        <f t="shared" si="4"/>
        <v>56.5</v>
      </c>
      <c r="B96">
        <v>1.52572209878223</v>
      </c>
      <c r="C96">
        <v>1.51627363621734</v>
      </c>
      <c r="D96">
        <v>1.50593654970552</v>
      </c>
      <c r="E96">
        <v>1.49471637954313</v>
      </c>
      <c r="F96">
        <v>1.48262019809224</v>
      </c>
      <c r="G96">
        <v>1.46965685073809</v>
      </c>
      <c r="H96">
        <v>1.45583720346563</v>
      </c>
      <c r="I96">
        <v>1.44117439222218</v>
      </c>
      <c r="J96">
        <v>1.42568406837309</v>
      </c>
      <c r="K96">
        <v>1.40938463371755</v>
      </c>
      <c r="L96">
        <v>1.39229745776723</v>
      </c>
      <c r="M96">
        <v>1.37444706936636</v>
      </c>
      <c r="N96">
        <v>1.35586131431894</v>
      </c>
      <c r="O96">
        <v>1.33657147056206</v>
      </c>
      <c r="P96">
        <v>1.31661231265358</v>
      </c>
      <c r="Q96">
        <v>1.2960221179884</v>
      </c>
      <c r="R96">
        <v>1.27484260826077</v>
      </c>
      <c r="S96">
        <v>1.25311882126302</v>
      </c>
      <c r="T96">
        <v>1.23089891013352</v>
      </c>
      <c r="U96">
        <v>1.20823386957639</v>
      </c>
      <c r="V96">
        <v>1.18517719127116</v>
      </c>
      <c r="W96">
        <v>1.16178445353311</v>
      </c>
      <c r="X96">
        <v>1.13811285310592</v>
      </c>
      <c r="Y96">
        <v>1.11422068958383</v>
      </c>
      <c r="Z96">
        <v>1.09016681518734</v>
      </c>
      <c r="AA96">
        <v>1.06601006428942</v>
      </c>
      <c r="AB96">
        <v>1.04180867808153</v>
      </c>
      <c r="AC96">
        <v>1.0176197400011</v>
      </c>
      <c r="AD96">
        <v>0.993498636997811</v>
      </c>
      <c r="AE96">
        <v>0.969498560437731</v>
      </c>
      <c r="AF96">
        <v>0.945670058531943</v>
      </c>
      <c r="AG96">
        <v>0.922060649775318</v>
      </c>
      <c r="AH96">
        <v>0.898714504165838</v>
      </c>
      <c r="AI96">
        <v>0.875672196131496</v>
      </c>
      <c r="AJ96">
        <v>0.85297053029974</v>
      </c>
      <c r="AK96">
        <v>0.830642438661497</v>
      </c>
      <c r="AL96">
        <v>0.808716945432677</v>
      </c>
      <c r="AM96">
        <v>0.787219194086278</v>
      </c>
      <c r="AN96">
        <v>0.766170529662242</v>
      </c>
      <c r="AO96">
        <v>0.745588628567032</v>
      </c>
      <c r="AP96">
        <v>0.725487667625034</v>
      </c>
      <c r="AQ96" s="3"/>
      <c r="BA96">
        <v>96</v>
      </c>
      <c r="BB96" t="s">
        <v>314</v>
      </c>
    </row>
    <row r="97" spans="1:54">
      <c r="A97" s="1">
        <f t="shared" si="4"/>
        <v>57</v>
      </c>
      <c r="B97">
        <v>1.52611695844051</v>
      </c>
      <c r="C97">
        <v>1.51675097055343</v>
      </c>
      <c r="D97">
        <v>1.50650392168444</v>
      </c>
      <c r="E97">
        <v>1.4953812088526</v>
      </c>
      <c r="F97">
        <v>1.48338972213737</v>
      </c>
      <c r="G97">
        <v>1.47053807991743</v>
      </c>
      <c r="H97">
        <v>1.45683687080157</v>
      </c>
      <c r="I97">
        <v>1.44229889761477</v>
      </c>
      <c r="J97">
        <v>1.42693941797231</v>
      </c>
      <c r="K97">
        <v>1.41077637516089</v>
      </c>
      <c r="L97">
        <v>1.39383061230097</v>
      </c>
      <c r="M97">
        <v>1.37612606214893</v>
      </c>
      <c r="N97">
        <v>1.35768990448037</v>
      </c>
      <c r="O97">
        <v>1.33855268284757</v>
      </c>
      <c r="P97">
        <v>1.31874837269234</v>
      </c>
      <c r="Q97">
        <v>1.29831439338015</v>
      </c>
      <c r="R97">
        <v>1.27729155774242</v>
      </c>
      <c r="S97">
        <v>1.25572395418691</v>
      </c>
      <c r="T97">
        <v>1.23365875834519</v>
      </c>
      <c r="U97">
        <v>1.21114597351557</v>
      </c>
      <c r="V97">
        <v>1.18823810173712</v>
      </c>
      <c r="W97">
        <v>1.16498975006651</v>
      </c>
      <c r="X97">
        <v>1.14145717936484</v>
      </c>
      <c r="Y97">
        <v>1.11769780546254</v>
      </c>
      <c r="Z97">
        <v>1.09376966477978</v>
      </c>
      <c r="AA97">
        <v>1.06973085817639</v>
      </c>
      <c r="AB97">
        <v>1.04563898786145</v>
      </c>
      <c r="AC97">
        <v>1.02155060252624</v>
      </c>
      <c r="AD97">
        <v>0.997520665449429</v>
      </c>
      <c r="AE97">
        <v>0.973602059193086</v>
      </c>
      <c r="AF97">
        <v>0.949845138749939</v>
      </c>
      <c r="AG97">
        <v>0.926297342749898</v>
      </c>
      <c r="AH97">
        <v>0.903002869750249</v>
      </c>
      <c r="AI97">
        <v>0.880002423897062</v>
      </c>
      <c r="AJ97">
        <v>0.857333031528995</v>
      </c>
      <c r="AK97">
        <v>0.835027927754509</v>
      </c>
      <c r="AL97">
        <v>0.813116509795125</v>
      </c>
      <c r="AM97">
        <v>0.791624352039775</v>
      </c>
      <c r="AN97">
        <v>0.770573276348446</v>
      </c>
      <c r="AO97">
        <v>0.749981470190299</v>
      </c>
      <c r="AP97">
        <v>0.729863644683646</v>
      </c>
      <c r="AQ97" s="3"/>
      <c r="BA97">
        <v>97</v>
      </c>
      <c r="BB97" t="s">
        <v>315</v>
      </c>
    </row>
    <row r="98" spans="1:54">
      <c r="A98" s="1">
        <f t="shared" si="4"/>
        <v>57.5</v>
      </c>
      <c r="B98">
        <v>1.52650496455546</v>
      </c>
      <c r="C98">
        <v>1.51722002743815</v>
      </c>
      <c r="D98">
        <v>1.50706146670454</v>
      </c>
      <c r="E98">
        <v>1.49603454098401</v>
      </c>
      <c r="F98">
        <v>1.48414596426567</v>
      </c>
      <c r="G98">
        <v>1.47140413559211</v>
      </c>
      <c r="H98">
        <v>1.45781937550581</v>
      </c>
      <c r="I98">
        <v>1.44340416479807</v>
      </c>
      <c r="J98">
        <v>1.42817338030862</v>
      </c>
      <c r="K98">
        <v>1.4121445217358</v>
      </c>
      <c r="L98">
        <v>1.39533792269093</v>
      </c>
      <c r="M98">
        <v>1.37777693862508</v>
      </c>
      <c r="N98">
        <v>1.35948810383508</v>
      </c>
      <c r="O98">
        <v>1.34050124958855</v>
      </c>
      <c r="P98">
        <v>1.32084957555851</v>
      </c>
      <c r="Q98">
        <v>1.30056966728545</v>
      </c>
      <c r="R98">
        <v>1.27970145332925</v>
      </c>
      <c r="S98">
        <v>1.25828809715234</v>
      </c>
      <c r="T98">
        <v>1.2363758205768</v>
      </c>
      <c r="U98">
        <v>1.21401365783276</v>
      </c>
      <c r="V98">
        <v>1.19125314167913</v>
      </c>
      <c r="W98">
        <v>1.16814792570927</v>
      </c>
      <c r="X98">
        <v>1.1447533496055</v>
      </c>
      <c r="Y98">
        <v>1.12112595661049</v>
      </c>
      <c r="Z98">
        <v>1.09732297467138</v>
      </c>
      <c r="AA98">
        <v>1.073401774426</v>
      </c>
      <c r="AB98">
        <v>1.04941931831293</v>
      </c>
      <c r="AC98">
        <v>1.02543161551256</v>
      </c>
      <c r="AD98">
        <v>1.00149319713189</v>
      </c>
      <c r="AE98">
        <v>0.977656625055425</v>
      </c>
      <c r="AF98">
        <v>0.953972046273914</v>
      </c>
      <c r="AG98">
        <v>0.930486802393807</v>
      </c>
      <c r="AH98">
        <v>0.907245101576414</v>
      </c>
      <c r="AI98">
        <v>0.884287757525179</v>
      </c>
      <c r="AJ98">
        <v>0.861651997501085</v>
      </c>
      <c r="AK98">
        <v>0.839371338852592</v>
      </c>
      <c r="AL98">
        <v>0.817475531323884</v>
      </c>
      <c r="AM98">
        <v>0.795990560545337</v>
      </c>
      <c r="AN98">
        <v>0.77493870666794</v>
      </c>
      <c r="AO98">
        <v>0.754338651097723</v>
      </c>
      <c r="AP98">
        <v>0.734205623704797</v>
      </c>
      <c r="AQ98" s="3"/>
      <c r="BA98">
        <v>98</v>
      </c>
      <c r="BB98" t="s">
        <v>316</v>
      </c>
    </row>
    <row r="99" spans="1:54">
      <c r="A99" s="1">
        <f t="shared" si="4"/>
        <v>58</v>
      </c>
      <c r="B99">
        <v>1.5268862939125</v>
      </c>
      <c r="C99">
        <v>1.51768102012842</v>
      </c>
      <c r="D99">
        <v>1.50760943754239</v>
      </c>
      <c r="E99">
        <v>1.49667667107556</v>
      </c>
      <c r="F99">
        <v>1.48488926455901</v>
      </c>
      <c r="G99">
        <v>1.47225540504972</v>
      </c>
      <c r="H99">
        <v>1.45878515394855</v>
      </c>
      <c r="I99">
        <v>1.4444906806476</v>
      </c>
      <c r="J99">
        <v>1.42938649366079</v>
      </c>
      <c r="K99">
        <v>1.41348966342755</v>
      </c>
      <c r="L99">
        <v>1.39682003027202</v>
      </c>
      <c r="M99">
        <v>1.37940039040447</v>
      </c>
      <c r="N99">
        <v>1.36125665242828</v>
      </c>
      <c r="O99">
        <v>1.34241795663184</v>
      </c>
      <c r="P99">
        <v>1.32291674946088</v>
      </c>
      <c r="Q99">
        <v>1.3027888060417</v>
      </c>
      <c r="R99">
        <v>1.28207319449799</v>
      </c>
      <c r="S99">
        <v>1.26081217709486</v>
      </c>
      <c r="T99">
        <v>1.23905104494276</v>
      </c>
      <c r="U99">
        <v>1.21683788505935</v>
      </c>
      <c r="V99">
        <v>1.19422328094139</v>
      </c>
      <c r="W99">
        <v>1.17125995032901</v>
      </c>
      <c r="X99">
        <v>1.14800232641242</v>
      </c>
      <c r="Y99">
        <v>1.12450609117734</v>
      </c>
      <c r="Z99">
        <v>1.10082767174764</v>
      </c>
      <c r="AA99">
        <v>1.07702371230876</v>
      </c>
      <c r="AB99">
        <v>1.05315053535622</v>
      </c>
      <c r="AC99">
        <v>1.02926360652261</v>
      </c>
      <c r="AD99">
        <v>1.00541701705374</v>
      </c>
      <c r="AE99">
        <v>0.981662997146206</v>
      </c>
      <c r="AF99">
        <v>0.95805147188849</v>
      </c>
      <c r="AG99">
        <v>0.934629669578375</v>
      </c>
      <c r="AH99">
        <v>0.911441789861841</v>
      </c>
      <c r="AI99">
        <v>0.88852873661458</v>
      </c>
      <c r="AJ99">
        <v>0.865927917928291</v>
      </c>
      <c r="AK99">
        <v>0.843673113120344</v>
      </c>
      <c r="AL99">
        <v>0.821794404483024</v>
      </c>
      <c r="AM99">
        <v>0.800318169621729</v>
      </c>
      <c r="AN99">
        <v>0.779267128759159</v>
      </c>
      <c r="AO99">
        <v>0.75866044032927</v>
      </c>
      <c r="AP99">
        <v>0.738513837543976</v>
      </c>
      <c r="AQ99" s="3"/>
      <c r="BA99">
        <v>99</v>
      </c>
      <c r="BB99" t="s">
        <v>317</v>
      </c>
    </row>
    <row r="100" spans="1:54">
      <c r="A100" s="1">
        <f t="shared" si="4"/>
        <v>58.5</v>
      </c>
      <c r="B100">
        <v>1.52726111727255</v>
      </c>
      <c r="C100">
        <v>1.5181341546246</v>
      </c>
      <c r="D100">
        <v>1.50814807839009</v>
      </c>
      <c r="E100">
        <v>1.49730788426757</v>
      </c>
      <c r="F100">
        <v>1.48561995161533</v>
      </c>
      <c r="G100">
        <v>1.47309226255118</v>
      </c>
      <c r="H100">
        <v>1.45973462789268</v>
      </c>
      <c r="I100">
        <v>1.44555891583498</v>
      </c>
      <c r="J100">
        <v>1.43057927851609</v>
      </c>
      <c r="K100">
        <v>1.41481237087926</v>
      </c>
      <c r="L100">
        <v>1.39827755555341</v>
      </c>
      <c r="M100">
        <v>1.38099708688631</v>
      </c>
      <c r="N100">
        <v>1.36299626684172</v>
      </c>
      <c r="O100">
        <v>1.34430356527185</v>
      </c>
      <c r="P100">
        <v>1.32495069716201</v>
      </c>
      <c r="Q100">
        <v>1.30497264986957</v>
      </c>
      <c r="R100">
        <v>1.2844076541853</v>
      </c>
      <c r="S100">
        <v>1.26329709425205</v>
      </c>
      <c r="T100">
        <v>1.24168535297867</v>
      </c>
      <c r="U100">
        <v>1.21961959154791</v>
      </c>
      <c r="V100">
        <v>1.19714946386559</v>
      </c>
      <c r="W100">
        <v>1.17432676923048</v>
      </c>
      <c r="X100">
        <v>1.15120504898916</v>
      </c>
      <c r="Y100">
        <v>1.12783913532743</v>
      </c>
      <c r="Z100">
        <v>1.10428466248359</v>
      </c>
      <c r="AA100">
        <v>1.08059755239956</v>
      </c>
      <c r="AB100">
        <v>1.05683348802885</v>
      </c>
      <c r="AC100">
        <v>1.03304738810437</v>
      </c>
      <c r="AD100">
        <v>1.00929289709063</v>
      </c>
      <c r="AE100">
        <v>0.98562190330992</v>
      </c>
      <c r="AF100">
        <v>0.962084096896557</v>
      </c>
      <c r="AG100">
        <v>0.93872657739786</v>
      </c>
      <c r="AH100">
        <v>0.91559351863704</v>
      </c>
      <c r="AI100">
        <v>0.892725896034614</v>
      </c>
      <c r="AJ100">
        <v>0.870161279106875</v>
      </c>
      <c r="AK100">
        <v>0.847933689469348</v>
      </c>
      <c r="AL100">
        <v>0.826073522495267</v>
      </c>
      <c r="AM100">
        <v>0.804607528910046</v>
      </c>
      <c r="AN100">
        <v>0.783558851105406</v>
      </c>
      <c r="AO100">
        <v>0.762947107860694</v>
      </c>
      <c r="AP100">
        <v>0.742788520463075</v>
      </c>
      <c r="AQ100" s="3"/>
      <c r="BA100">
        <v>100</v>
      </c>
      <c r="BB100" t="s">
        <v>318</v>
      </c>
    </row>
    <row r="101" spans="1:54">
      <c r="A101" s="1">
        <f t="shared" si="4"/>
        <v>59</v>
      </c>
      <c r="B101">
        <v>1.52762959962631</v>
      </c>
      <c r="C101">
        <v>1.51857962997623</v>
      </c>
      <c r="D101">
        <v>1.5086776252162</v>
      </c>
      <c r="E101">
        <v>1.49792845612152</v>
      </c>
      <c r="F101">
        <v>1.48633834302824</v>
      </c>
      <c r="G101">
        <v>1.47391506987216</v>
      </c>
      <c r="H101">
        <v>1.46066820509733</v>
      </c>
      <c r="I101">
        <v>1.4466093254928</v>
      </c>
      <c r="J101">
        <v>1.43175223829433</v>
      </c>
      <c r="K101">
        <v>1.41611319617134</v>
      </c>
      <c r="L101">
        <v>1.39971109904803</v>
      </c>
      <c r="M101">
        <v>1.38256767613211</v>
      </c>
      <c r="N101">
        <v>1.36470764110115</v>
      </c>
      <c r="O101">
        <v>1.34615881318305</v>
      </c>
      <c r="P101">
        <v>1.32695219692448</v>
      </c>
      <c r="Q101">
        <v>1.30712201382091</v>
      </c>
      <c r="R101">
        <v>1.28670567972465</v>
      </c>
      <c r="S101">
        <v>1.26574372307656</v>
      </c>
      <c r="T101">
        <v>1.24427964051785</v>
      </c>
      <c r="U101">
        <v>1.22235968830025</v>
      </c>
      <c r="V101">
        <v>1.20003261005977</v>
      </c>
      <c r="W101">
        <v>1.17734930385616</v>
      </c>
      <c r="X101">
        <v>1.15436243378344</v>
      </c>
      <c r="Y101">
        <v>1.13112599378461</v>
      </c>
      <c r="Z101">
        <v>1.10769483340571</v>
      </c>
      <c r="AA101">
        <v>1.08412415695653</v>
      </c>
      <c r="AB101">
        <v>1.06046900878344</v>
      </c>
      <c r="AC101">
        <v>1.03678375801206</v>
      </c>
      <c r="AD101">
        <v>1.0131215961347</v>
      </c>
      <c r="AE101">
        <v>0.989534060199157</v>
      </c>
      <c r="AF101">
        <v>0.96607059314789</v>
      </c>
      <c r="AG101">
        <v>0.942778151150002</v>
      </c>
      <c r="AH101">
        <v>0.919700865686515</v>
      </c>
      <c r="AI101">
        <v>0.896879765834956</v>
      </c>
      <c r="AJ101">
        <v>0.874352563803272</v>
      </c>
      <c r="AK101">
        <v>0.852153504427948</v>
      </c>
      <c r="AL101">
        <v>0.83031327720158</v>
      </c>
      <c r="AM101">
        <v>0.808858987528458</v>
      </c>
      <c r="AN101">
        <v>0.78781418238917</v>
      </c>
      <c r="AO101">
        <v>0.76719892446093</v>
      </c>
      <c r="AP101">
        <v>0.747029907993563</v>
      </c>
      <c r="AQ101" s="3"/>
      <c r="BA101">
        <v>101</v>
      </c>
      <c r="BB101" t="s">
        <v>319</v>
      </c>
    </row>
    <row r="102" spans="1:54">
      <c r="A102" s="1">
        <f t="shared" si="4"/>
        <v>59.5</v>
      </c>
      <c r="B102">
        <v>1.52799190043576</v>
      </c>
      <c r="C102">
        <v>1.51901763857253</v>
      </c>
      <c r="D102">
        <v>1.50919830610851</v>
      </c>
      <c r="E102">
        <v>1.49853865301823</v>
      </c>
      <c r="F102">
        <v>1.48704474584269</v>
      </c>
      <c r="G102">
        <v>1.47472417681771</v>
      </c>
      <c r="H102">
        <v>1.46158627989195</v>
      </c>
      <c r="I102">
        <v>1.44764234984727</v>
      </c>
      <c r="J102">
        <v>1.43290586003708</v>
      </c>
      <c r="K102">
        <v>1.4173926735638</v>
      </c>
      <c r="L102">
        <v>1.40112124206313</v>
      </c>
      <c r="M102">
        <v>1.38411278569811</v>
      </c>
      <c r="N102">
        <v>1.36639144754281</v>
      </c>
      <c r="O102">
        <v>1.34798441531104</v>
      </c>
      <c r="P102">
        <v>1.32892200341632</v>
      </c>
      <c r="Q102">
        <v>1.30923768868708</v>
      </c>
      <c r="R102">
        <v>1.28896809374557</v>
      </c>
      <c r="S102">
        <v>1.26815291311394</v>
      </c>
      <c r="T102">
        <v>1.24683477853563</v>
      </c>
      <c r="U102">
        <v>1.2250590617668</v>
      </c>
      <c r="V102">
        <v>1.20287361514246</v>
      </c>
      <c r="W102">
        <v>1.1803284524663</v>
      </c>
      <c r="X102">
        <v>1.15747537509617</v>
      </c>
      <c r="Y102">
        <v>1.1343675503652</v>
      </c>
      <c r="Z102">
        <v>1.11105905154611</v>
      </c>
      <c r="AA102">
        <v>1.0876043702958</v>
      </c>
      <c r="AB102">
        <v>1.06405791378474</v>
      </c>
      <c r="AC102">
        <v>1.04047349942897</v>
      </c>
      <c r="AD102">
        <v>1.01690386024842</v>
      </c>
      <c r="AE102">
        <v>0.993400173365906</v>
      </c>
      <c r="AF102">
        <v>0.970011623075287</v>
      </c>
      <c r="AG102">
        <v>0.946785008324923</v>
      </c>
      <c r="AH102">
        <v>0.923764402498495</v>
      </c>
      <c r="AI102">
        <v>0.900990871164082</v>
      </c>
      <c r="AJ102">
        <v>0.878502251148816</v>
      </c>
      <c r="AK102">
        <v>0.856332992019067</v>
      </c>
      <c r="AL102">
        <v>0.834514058928184</v>
      </c>
      <c r="AM102">
        <v>0.813072893933651</v>
      </c>
      <c r="AN102">
        <v>0.792033431352364</v>
      </c>
      <c r="AO102">
        <v>0.771416161554648</v>
      </c>
      <c r="AP102">
        <v>0.751238236804063</v>
      </c>
      <c r="AQ102" s="3"/>
      <c r="BA102">
        <v>102</v>
      </c>
      <c r="BB102" t="s">
        <v>320</v>
      </c>
    </row>
    <row r="103" spans="1:54">
      <c r="A103" s="1">
        <f t="shared" si="4"/>
        <v>60</v>
      </c>
      <c r="B103">
        <v>1.52834817386375</v>
      </c>
      <c r="C103">
        <v>1.51944836641838</v>
      </c>
      <c r="D103">
        <v>1.50971034159997</v>
      </c>
      <c r="E103">
        <v>1.49913873253637</v>
      </c>
      <c r="F103">
        <v>1.48773945698831</v>
      </c>
      <c r="G103">
        <v>1.47551992171184</v>
      </c>
      <c r="H103">
        <v>1.46248923372242</v>
      </c>
      <c r="I103">
        <v>1.44865841482038</v>
      </c>
      <c r="J103">
        <v>1.43404061506399</v>
      </c>
      <c r="K103">
        <v>1.41865132020359</v>
      </c>
      <c r="L103">
        <v>1.40250854745414</v>
      </c>
      <c r="M103">
        <v>1.38563302342961</v>
      </c>
      <c r="N103">
        <v>1.36804833764087</v>
      </c>
      <c r="O103">
        <v>1.34978106472462</v>
      </c>
      <c r="P103">
        <v>1.33086084857766</v>
      </c>
      <c r="Q103">
        <v>1.31132044186953</v>
      </c>
      <c r="R103">
        <v>1.29119569503671</v>
      </c>
      <c r="S103">
        <v>1.27052548984661</v>
      </c>
      <c r="T103">
        <v>1.24935161396278</v>
      </c>
      <c r="U103">
        <v>1.22771857461853</v>
      </c>
      <c r="V103">
        <v>1.20567335146313</v>
      </c>
      <c r="W103">
        <v>1.1832650907992</v>
      </c>
      <c r="X103">
        <v>1.16054474567459</v>
      </c>
      <c r="Y103">
        <v>1.13756466849907</v>
      </c>
      <c r="Z103">
        <v>1.11437816488864</v>
      </c>
      <c r="AA103">
        <v>1.09103901916195</v>
      </c>
      <c r="AB103">
        <v>1.06760100320553</v>
      </c>
      <c r="AC103">
        <v>1.04411738119193</v>
      </c>
      <c r="AD103">
        <v>1.02064042282235</v>
      </c>
      <c r="AE103">
        <v>0.997220937358538</v>
      </c>
      <c r="AF103">
        <v>0.9739078397377</v>
      </c>
      <c r="AG103">
        <v>0.950747758601848</v>
      </c>
      <c r="AH103">
        <v>0.927784694222923</v>
      </c>
      <c r="AI103">
        <v>0.905059732196099</v>
      </c>
      <c r="AJ103">
        <v>0.882610816542605</v>
      </c>
      <c r="AK103">
        <v>0.860472583645768</v>
      </c>
      <c r="AL103">
        <v>0.838676256360736</v>
      </c>
      <c r="AM103">
        <v>0.817249595788773</v>
      </c>
      <c r="AN103">
        <v>0.796216906662346</v>
      </c>
      <c r="AO103">
        <v>0.775599091089852</v>
      </c>
      <c r="AP103">
        <v>0.755413744572256</v>
      </c>
      <c r="AQ103" s="3"/>
      <c r="BA103">
        <v>103</v>
      </c>
      <c r="BB103" t="s">
        <v>321</v>
      </c>
    </row>
    <row r="104" spans="1:54">
      <c r="A104" s="1">
        <f t="shared" si="4"/>
        <v>60.5</v>
      </c>
      <c r="B104">
        <v>1.52869856899212</v>
      </c>
      <c r="C104">
        <v>1.51987199339676</v>
      </c>
      <c r="D104">
        <v>1.51021394497848</v>
      </c>
      <c r="E104">
        <v>1.49972894381242</v>
      </c>
      <c r="F104">
        <v>1.48842276369163</v>
      </c>
      <c r="G104">
        <v>1.47630263186324</v>
      </c>
      <c r="H104">
        <v>1.4633774356709</v>
      </c>
      <c r="I104">
        <v>1.44965793260324</v>
      </c>
      <c r="J104">
        <v>1.43515695959797</v>
      </c>
      <c r="K104">
        <v>1.41988963679879</v>
      </c>
      <c r="L104">
        <v>1.40387356034361</v>
      </c>
      <c r="M104">
        <v>1.38712897821915</v>
      </c>
      <c r="N104">
        <v>1.36967894279796</v>
      </c>
      <c r="O104">
        <v>1.35154943343048</v>
      </c>
      <c r="P104">
        <v>1.33276944245045</v>
      </c>
      <c r="Q104">
        <v>1.31337101821435</v>
      </c>
      <c r="R104">
        <v>1.2933892593745</v>
      </c>
      <c r="S104">
        <v>1.27286225550557</v>
      </c>
      <c r="T104">
        <v>1.25183097046925</v>
      </c>
      <c r="U104">
        <v>1.23033906649221</v>
      </c>
      <c r="V104">
        <v>1.2084326687993</v>
      </c>
      <c r="W104">
        <v>1.186160072712</v>
      </c>
      <c r="X104">
        <v>1.16357139728986</v>
      </c>
      <c r="Y104">
        <v>1.14071819173903</v>
      </c>
      <c r="Z104">
        <v>1.11765300280699</v>
      </c>
      <c r="AA104">
        <v>1.09442891309372</v>
      </c>
      <c r="AB104">
        <v>1.07109906152097</v>
      </c>
      <c r="AC104">
        <v>1.04771615801692</v>
      </c>
      <c r="AD104">
        <v>1.02433200473626</v>
      </c>
      <c r="AE104">
        <v>1.00099703582393</v>
      </c>
      <c r="AF104">
        <v>0.977759886869807</v>
      </c>
      <c r="AG104">
        <v>0.954667003853149</v>
      </c>
      <c r="AH104">
        <v>0.931762299637248</v>
      </c>
      <c r="AI104">
        <v>0.909086864065513</v>
      </c>
      <c r="AJ104">
        <v>0.88667873156219</v>
      </c>
      <c r="AK104">
        <v>0.864572707984262</v>
      </c>
      <c r="AL104">
        <v>0.84280025642545</v>
      </c>
      <c r="AM104">
        <v>0.821389439837693</v>
      </c>
      <c r="AN104">
        <v>0.800364916783582</v>
      </c>
      <c r="AO104">
        <v>0.77974798541042</v>
      </c>
      <c r="AP104">
        <v>0.759556669861048</v>
      </c>
      <c r="AQ104" s="3"/>
      <c r="BA104">
        <v>104</v>
      </c>
      <c r="BB104" t="s">
        <v>322</v>
      </c>
    </row>
    <row r="105" spans="1:54">
      <c r="A105" s="1">
        <f t="shared" si="4"/>
        <v>61</v>
      </c>
      <c r="B105">
        <v>1.52904323002922</v>
      </c>
      <c r="C105">
        <v>1.52028869351832</v>
      </c>
      <c r="D105">
        <v>1.51070932258166</v>
      </c>
      <c r="E105">
        <v>1.50030952788317</v>
      </c>
      <c r="F105">
        <v>1.48909494386829</v>
      </c>
      <c r="G105">
        <v>1.47707262400866</v>
      </c>
      <c r="H105">
        <v>1.46425124295076</v>
      </c>
      <c r="I105">
        <v>1.45064130220218</v>
      </c>
      <c r="J105">
        <v>1.436255335361</v>
      </c>
      <c r="K105">
        <v>1.42110810826144</v>
      </c>
      <c r="L105">
        <v>1.40521680880711</v>
      </c>
      <c r="M105">
        <v>1.3886012207304</v>
      </c>
      <c r="N105">
        <v>1.37128387510061</v>
      </c>
      <c r="O105">
        <v>1.35329017315253</v>
      </c>
      <c r="P105">
        <v>1.33464847397304</v>
      </c>
      <c r="Q105">
        <v>1.31539014081249</v>
      </c>
      <c r="R105">
        <v>1.29554954031886</v>
      </c>
      <c r="S105">
        <v>1.275163989851</v>
      </c>
      <c r="T105">
        <v>1.25427364921927</v>
      </c>
      <c r="U105">
        <v>1.23292135471001</v>
      </c>
      <c r="V105">
        <v>1.21115239503142</v>
      </c>
      <c r="W105">
        <v>1.18901423080252</v>
      </c>
      <c r="X105">
        <v>1.16655616129931</v>
      </c>
      <c r="Y105">
        <v>1.14382894425847</v>
      </c>
      <c r="Z105">
        <v>1.1208843764946</v>
      </c>
      <c r="AA105">
        <v>1.09777484478495</v>
      </c>
      <c r="AB105">
        <v>1.07455285780101</v>
      </c>
      <c r="AC105">
        <v>1.0512705707254</v>
      </c>
      <c r="AD105">
        <v>1.02797931452312</v>
      </c>
      <c r="AE105">
        <v>1.00472914161426</v>
      </c>
      <c r="AF105">
        <v>0.98156839893754</v>
      </c>
      <c r="AG105">
        <v>0.958543338155243</v>
      </c>
      <c r="AH105">
        <v>0.93569777111958</v>
      </c>
      <c r="AI105">
        <v>0.913072776809547</v>
      </c>
      <c r="AJ105">
        <v>0.890706463881696</v>
      </c>
      <c r="AK105">
        <v>0.868633790884077</v>
      </c>
      <c r="AL105">
        <v>0.8468864441769</v>
      </c>
      <c r="AM105">
        <v>0.825492771785385</v>
      </c>
      <c r="AN105">
        <v>0.804477769854798</v>
      </c>
      <c r="AO105">
        <v>0.783863117133486</v>
      </c>
      <c r="AP105">
        <v>0.763667251998919</v>
      </c>
      <c r="AQ105" s="3"/>
      <c r="BA105">
        <v>105</v>
      </c>
      <c r="BB105" t="s">
        <v>323</v>
      </c>
    </row>
    <row r="106" spans="1:54">
      <c r="A106" s="1">
        <f t="shared" si="4"/>
        <v>61.5</v>
      </c>
      <c r="B106">
        <v>1.52938229650732</v>
      </c>
      <c r="C106">
        <v>1.5206986351589</v>
      </c>
      <c r="D106">
        <v>1.51119667407733</v>
      </c>
      <c r="E106">
        <v>1.50088071801166</v>
      </c>
      <c r="F106">
        <v>1.48975626649646</v>
      </c>
      <c r="G106">
        <v>1.47783020473503</v>
      </c>
      <c r="H106">
        <v>1.46511100137803</v>
      </c>
      <c r="I106">
        <v>1.45160890995918</v>
      </c>
      <c r="J106">
        <v>1.43733617014213</v>
      </c>
      <c r="K106">
        <v>1.42230720432068</v>
      </c>
      <c r="L106">
        <v>1.40653880452799</v>
      </c>
      <c r="M106">
        <v>1.39005030408959</v>
      </c>
      <c r="N106">
        <v>1.3728637280414</v>
      </c>
      <c r="O106">
        <v>1.35500391607764</v>
      </c>
      <c r="P106">
        <v>1.33649861174119</v>
      </c>
      <c r="Q106">
        <v>1.31737851176715</v>
      </c>
      <c r="R106">
        <v>1.29767726997728</v>
      </c>
      <c r="S106">
        <v>1.27743145092319</v>
      </c>
      <c r="T106">
        <v>1.25668042959905</v>
      </c>
      <c r="U106">
        <v>1.2354662349743</v>
      </c>
      <c r="V106">
        <v>1.21383333679588</v>
      </c>
      <c r="W106">
        <v>1.19182837701269</v>
      </c>
      <c r="X106">
        <v>1.16949984919368</v>
      </c>
      <c r="Y106">
        <v>1.14689773133741</v>
      </c>
      <c r="Z106">
        <v>1.12407307938629</v>
      </c>
      <c r="AA106">
        <v>1.10107759044029</v>
      </c>
      <c r="AB106">
        <v>1.07796314600065</v>
      </c>
      <c r="AC106">
        <v>1.05478134647091</v>
      </c>
      <c r="AD106">
        <v>1.03158304853555</v>
      </c>
      <c r="AE106">
        <v>1.00841791689791</v>
      </c>
      <c r="AF106">
        <v>0.985334001199101</v>
      </c>
      <c r="AG106">
        <v>0.962377347805867</v>
      </c>
      <c r="AH106">
        <v>0.939591654628777</v>
      </c>
      <c r="AI106">
        <v>0.91701797531762</v>
      </c>
      <c r="AJ106">
        <v>0.894694477197096</v>
      </c>
      <c r="AK106">
        <v>0.872656255275089</v>
      </c>
      <c r="AL106">
        <v>0.850935202692293</v>
      </c>
      <c r="AM106">
        <v>0.829559936184248</v>
      </c>
      <c r="AN106">
        <v>0.808555773571471</v>
      </c>
      <c r="AO106">
        <v>0.787944759031532</v>
      </c>
      <c r="AP106">
        <v>0.767745730964372</v>
      </c>
      <c r="AQ106" s="3"/>
      <c r="BA106">
        <v>106</v>
      </c>
      <c r="BB106" t="s">
        <v>324</v>
      </c>
    </row>
    <row r="107" spans="1:54">
      <c r="A107" s="1">
        <f t="shared" si="4"/>
        <v>62</v>
      </c>
      <c r="B107">
        <v>1.52971590347052</v>
      </c>
      <c r="C107">
        <v>1.52110198128556</v>
      </c>
      <c r="D107">
        <v>1.51167619273051</v>
      </c>
      <c r="E107">
        <v>1.5014427399976</v>
      </c>
      <c r="F107">
        <v>1.4904069919725</v>
      </c>
      <c r="G107">
        <v>1.47857567088164</v>
      </c>
      <c r="H107">
        <v>1.46595704582069</v>
      </c>
      <c r="I107">
        <v>1.45256113004792</v>
      </c>
      <c r="J107">
        <v>1.43839987833918</v>
      </c>
      <c r="K107">
        <v>1.42348738010775</v>
      </c>
      <c r="L107">
        <v>1.40784004342237</v>
      </c>
      <c r="M107">
        <v>1.39147676454609</v>
      </c>
      <c r="N107">
        <v>1.3744190772094</v>
      </c>
      <c r="O107">
        <v>1.35669127556926</v>
      </c>
      <c r="P107">
        <v>1.33832050473731</v>
      </c>
      <c r="Q107">
        <v>1.31933681293</v>
      </c>
      <c r="R107">
        <v>1.29977315973885</v>
      </c>
      <c r="S107">
        <v>1.27966537576487</v>
      </c>
      <c r="T107">
        <v>1.25905206991804</v>
      </c>
      <c r="U107">
        <v>1.23797448203862</v>
      </c>
      <c r="V107">
        <v>1.21647628011705</v>
      </c>
      <c r="W107">
        <v>1.19460330321402</v>
      </c>
      <c r="X107">
        <v>1.1724032531296</v>
      </c>
      <c r="Y107">
        <v>1.14992533983713</v>
      </c>
      <c r="Z107">
        <v>1.12721988757168</v>
      </c>
      <c r="AA107">
        <v>1.10433791012581</v>
      </c>
      <c r="AB107">
        <v>1.08133066524765</v>
      </c>
      <c r="AC107">
        <v>1.05824919896568</v>
      </c>
      <c r="AD107">
        <v>1.03514389111438</v>
      </c>
      <c r="AE107">
        <v>1.01206401327419</v>
      </c>
      <c r="AF107">
        <v>0.989057309771012</v>
      </c>
      <c r="AG107">
        <v>0.966169611347331</v>
      </c>
      <c r="AH107">
        <v>0.943444489691074</v>
      </c>
      <c r="AI107">
        <v>0.920922959287632</v>
      </c>
      <c r="AJ107">
        <v>0.898643231158262</v>
      </c>
      <c r="AK107">
        <v>0.876640521081154</v>
      </c>
      <c r="AL107">
        <v>0.854946912971967</v>
      </c>
      <c r="AM107">
        <v>0.833591276326171</v>
      </c>
      <c r="AN107">
        <v>0.812599235073533</v>
      </c>
      <c r="AO107">
        <v>0.791993183919116</v>
      </c>
      <c r="AP107">
        <v>0.771792347274419</v>
      </c>
      <c r="AQ107" s="3"/>
      <c r="BA107">
        <v>107</v>
      </c>
      <c r="BB107" t="s">
        <v>325</v>
      </c>
    </row>
    <row r="108" spans="1:54">
      <c r="A108" s="1">
        <f t="shared" si="4"/>
        <v>62.5</v>
      </c>
      <c r="B108">
        <v>1.53004418165365</v>
      </c>
      <c r="C108">
        <v>1.52149888967187</v>
      </c>
      <c r="D108">
        <v>1.51214806565776</v>
      </c>
      <c r="E108">
        <v>1.50199581247298</v>
      </c>
      <c r="F108">
        <v>1.49104737244972</v>
      </c>
      <c r="G108">
        <v>1.47930930992339</v>
      </c>
      <c r="H108">
        <v>1.46678970062685</v>
      </c>
      <c r="I108">
        <v>1.45349832494684</v>
      </c>
      <c r="J108">
        <v>1.43944686147544</v>
      </c>
      <c r="K108">
        <v>1.42464907671444</v>
      </c>
      <c r="L108">
        <v>1.40912100623612</v>
      </c>
      <c r="M108">
        <v>1.3928811221037</v>
      </c>
      <c r="N108">
        <v>1.37595048095059</v>
      </c>
      <c r="O108">
        <v>1.35835284685065</v>
      </c>
      <c r="P108">
        <v>1.34011478302917</v>
      </c>
      <c r="Q108">
        <v>1.32126570660738</v>
      </c>
      <c r="R108">
        <v>1.30183790097945</v>
      </c>
      <c r="S108">
        <v>1.28186648111633</v>
      </c>
      <c r="T108">
        <v>1.26138930808479</v>
      </c>
      <c r="U108">
        <v>1.24044685035555</v>
      </c>
      <c r="V108">
        <v>1.2190819910189</v>
      </c>
      <c r="W108">
        <v>1.19733978177555</v>
      </c>
      <c r="X108">
        <v>1.17526714644767</v>
      </c>
      <c r="Y108">
        <v>1.15291253866343</v>
      </c>
      <c r="Z108">
        <v>1.13032556020023</v>
      </c>
      <c r="AA108">
        <v>1.10755654811406</v>
      </c>
      <c r="AB108">
        <v>1.08465614012756</v>
      </c>
      <c r="AC108">
        <v>1.06167482870683</v>
      </c>
      <c r="AD108">
        <v>1.03866251475877</v>
      </c>
      <c r="AE108">
        <v>1.01566807189135</v>
      </c>
      <c r="AF108">
        <v>0.992738931698779</v>
      </c>
      <c r="AG108">
        <v>0.969920699595308</v>
      </c>
      <c r="AH108">
        <v>0.947256809392853</v>
      </c>
      <c r="AI108">
        <v>0.924788223188682</v>
      </c>
      <c r="AJ108">
        <v>0.902553181307529</v>
      </c>
      <c r="AK108">
        <v>0.880587005140075</v>
      </c>
      <c r="AL108">
        <v>0.858921953845891</v>
      </c>
      <c r="AM108">
        <v>0.837587134140173</v>
      </c>
      <c r="AN108">
        <v>0.816608460838122</v>
      </c>
      <c r="AO108">
        <v>0.796008664544088</v>
      </c>
      <c r="AP108">
        <v>0.775807341877006</v>
      </c>
      <c r="AQ108" s="3"/>
      <c r="BA108">
        <v>108</v>
      </c>
      <c r="BB108" t="s">
        <v>326</v>
      </c>
    </row>
    <row r="109" spans="1:54">
      <c r="A109" s="1">
        <f t="shared" si="4"/>
        <v>63</v>
      </c>
      <c r="B109">
        <v>1.53036725765272</v>
      </c>
      <c r="C109">
        <v>1.521889513103</v>
      </c>
      <c r="D109">
        <v>1.51261247406947</v>
      </c>
      <c r="E109">
        <v>1.5025401471838</v>
      </c>
      <c r="F109">
        <v>1.49167765216134</v>
      </c>
      <c r="G109">
        <v>1.48003140033612</v>
      </c>
      <c r="H109">
        <v>1.46760928003317</v>
      </c>
      <c r="I109">
        <v>1.45442084589038</v>
      </c>
      <c r="J109">
        <v>1.44047750869286</v>
      </c>
      <c r="K109">
        <v>1.42579272172626</v>
      </c>
      <c r="L109">
        <v>1.41038215911514</v>
      </c>
      <c r="M109">
        <v>1.39426388112419</v>
      </c>
      <c r="N109">
        <v>1.37745848099972</v>
      </c>
      <c r="O109">
        <v>1.35998920765911</v>
      </c>
      <c r="P109">
        <v>1.34188205843977</v>
      </c>
      <c r="Q109">
        <v>1.32316583623815</v>
      </c>
      <c r="R109">
        <v>1.30387216573929</v>
      </c>
      <c r="S109">
        <v>1.28403546408422</v>
      </c>
      <c r="T109">
        <v>1.26369286225845</v>
      </c>
      <c r="U109">
        <v>1.24288407470235</v>
      </c>
      <c r="V109">
        <v>1.2216512161169</v>
      </c>
      <c r="W109">
        <v>1.20003856611488</v>
      </c>
      <c r="X109">
        <v>1.17809228417645</v>
      </c>
      <c r="Y109">
        <v>1.15586007921869</v>
      </c>
      <c r="Z109">
        <v>1.13339083987803</v>
      </c>
      <c r="AA109">
        <v>1.11073423322369</v>
      </c>
      <c r="AB109">
        <v>1.08794028096569</v>
      </c>
      <c r="AC109">
        <v>1.06505892320196</v>
      </c>
      <c r="AD109">
        <v>1.0421395802977</v>
      </c>
      <c r="AE109">
        <v>1.01923072356749</v>
      </c>
      <c r="AF109">
        <v>0.996379465031781</v>
      </c>
      <c r="AG109">
        <v>0.973631175672787</v>
      </c>
      <c r="AH109">
        <v>0.951029140379193</v>
      </c>
      <c r="AI109">
        <v>0.928614256229911</v>
      </c>
      <c r="AJ109">
        <v>0.906424779024432</v>
      </c>
      <c r="AK109">
        <v>0.884496121129623</v>
      </c>
      <c r="AL109">
        <v>0.862860701885956</v>
      </c>
      <c r="AM109">
        <v>0.841547850095427</v>
      </c>
      <c r="AN109">
        <v>0.82058375657725</v>
      </c>
      <c r="AO109">
        <v>0.799991473483221</v>
      </c>
      <c r="AP109">
        <v>0.779790956047306</v>
      </c>
      <c r="AQ109" s="3"/>
      <c r="BA109">
        <v>109</v>
      </c>
      <c r="BB109" t="s">
        <v>327</v>
      </c>
    </row>
    <row r="110" spans="1:54">
      <c r="A110" s="1">
        <f t="shared" si="4"/>
        <v>63.5</v>
      </c>
      <c r="B110">
        <v>1.53068525408734</v>
      </c>
      <c r="C110">
        <v>1.52227399957118</v>
      </c>
      <c r="D110">
        <v>1.5130695935008</v>
      </c>
      <c r="E110">
        <v>1.50307594925866</v>
      </c>
      <c r="F110">
        <v>1.49229806772837</v>
      </c>
      <c r="G110">
        <v>1.48074221194503</v>
      </c>
      <c r="H110">
        <v>1.46841608855443</v>
      </c>
      <c r="I110">
        <v>1.45532903329958</v>
      </c>
      <c r="J110">
        <v>1.44149219722286</v>
      </c>
      <c r="K110">
        <v>1.42691872973163</v>
      </c>
      <c r="L110">
        <v>1.41162395415039</v>
      </c>
      <c r="M110">
        <v>1.39562553090444</v>
      </c>
      <c r="N110">
        <v>1.37894360308495</v>
      </c>
      <c r="O110">
        <v>1.36160091887263</v>
      </c>
      <c r="P110">
        <v>1.34362292518945</v>
      </c>
      <c r="Q110">
        <v>1.32503782704426</v>
      </c>
      <c r="R110">
        <v>1.30587660737415</v>
      </c>
      <c r="S110">
        <v>1.2861730027853</v>
      </c>
      <c r="T110">
        <v>1.26596343147681</v>
      </c>
      <c r="U110">
        <v>1.24528687078525</v>
      </c>
      <c r="V110">
        <v>1.22418468319084</v>
      </c>
      <c r="W110">
        <v>1.20270039123257</v>
      </c>
      <c r="X110">
        <v>1.18087940352251</v>
      </c>
      <c r="Y110">
        <v>1.15876869584293</v>
      </c>
      <c r="Z110">
        <v>1.13641645305636</v>
      </c>
      <c r="AA110">
        <v>1.11387167915345</v>
      </c>
      <c r="AB110">
        <v>1.09118378410603</v>
      </c>
      <c r="AC110">
        <v>1.06840215719366</v>
      </c>
      <c r="AD110">
        <v>1.0455757370624</v>
      </c>
      <c r="AE110">
        <v>1.0227525889141</v>
      </c>
      <c r="AF110">
        <v>0.999979498901995</v>
      </c>
      <c r="AG110">
        <v>0.977301595048814</v>
      </c>
      <c r="AH110">
        <v>0.954762002857843</v>
      </c>
      <c r="AI110">
        <v>0.932401542335109</v>
      </c>
      <c r="AJ110">
        <v>0.910258471476347</v>
      </c>
      <c r="AK110">
        <v>0.888368279499376</v>
      </c>
      <c r="AL110">
        <v>0.866763531323835</v>
      </c>
      <c r="AM110">
        <v>0.845473763109496</v>
      </c>
      <c r="AN110">
        <v>0.824525427140245</v>
      </c>
      <c r="AO110">
        <v>0.803941883042117</v>
      </c>
      <c r="AP110">
        <v>0.783743431287805</v>
      </c>
      <c r="AQ110" s="3"/>
      <c r="BA110">
        <v>110</v>
      </c>
      <c r="BB110" t="s">
        <v>328</v>
      </c>
    </row>
    <row r="111" spans="1:54">
      <c r="A111" s="1">
        <f t="shared" si="4"/>
        <v>64</v>
      </c>
      <c r="B111">
        <v>1.53099828975551</v>
      </c>
      <c r="C111">
        <v>1.52265249246201</v>
      </c>
      <c r="D111">
        <v>1.5135195940319</v>
      </c>
      <c r="E111">
        <v>1.50360341746485</v>
      </c>
      <c r="F111">
        <v>1.49290884845327</v>
      </c>
      <c r="G111">
        <v>1.48144200625713</v>
      </c>
      <c r="H111">
        <v>1.46921042135524</v>
      </c>
      <c r="I111">
        <v>1.45622321719319</v>
      </c>
      <c r="J111">
        <v>1.4424912928359</v>
      </c>
      <c r="K111">
        <v>1.42802750280847</v>
      </c>
      <c r="L111">
        <v>1.41284682989887</v>
      </c>
      <c r="M111">
        <v>1.39696654622855</v>
      </c>
      <c r="N111">
        <v>1.38040635750674</v>
      </c>
      <c r="O111">
        <v>1.36318852511028</v>
      </c>
      <c r="P111">
        <v>1.34533796051184</v>
      </c>
      <c r="Q111">
        <v>1.32688228665529</v>
      </c>
      <c r="R111">
        <v>1.30785186118137</v>
      </c>
      <c r="S111">
        <v>1.2882797569661</v>
      </c>
      <c r="T111">
        <v>1.26820169626169</v>
      </c>
      <c r="U111">
        <v>1.24765593582294</v>
      </c>
      <c r="V111">
        <v>1.22668310173912</v>
      </c>
      <c r="W111">
        <v>1.20532597423055</v>
      </c>
      <c r="X111">
        <v>1.18362922434715</v>
      </c>
      <c r="Y111">
        <v>1.16163910624398</v>
      </c>
      <c r="Z111">
        <v>1.1394031104119</v>
      </c>
      <c r="AA111">
        <v>1.11696958481038</v>
      </c>
      <c r="AB111">
        <v>1.09438733218675</v>
      </c>
      <c r="AC111">
        <v>1.07170519288295</v>
      </c>
      <c r="AD111">
        <v>1.04897162305944</v>
      </c>
      <c r="AE111">
        <v>1.02623427846181</v>
      </c>
      <c r="AF111">
        <v>1.00353961360622</v>
      </c>
      <c r="AG111">
        <v>0.980932505581667</v>
      </c>
      <c r="AH111">
        <v>0.958455910608278</v>
      </c>
      <c r="AI111">
        <v>0.936150560122803</v>
      </c>
      <c r="AJ111">
        <v>0.914054701574747</v>
      </c>
      <c r="AK111">
        <v>0.892203887408128</v>
      </c>
      <c r="AL111">
        <v>0.870630813974199</v>
      </c>
      <c r="AM111">
        <v>0.849365210461605</v>
      </c>
      <c r="AN111">
        <v>0.828433776420826</v>
      </c>
      <c r="AO111">
        <v>0.807860165159298</v>
      </c>
      <c r="AP111">
        <v>0.787665009232085</v>
      </c>
      <c r="AQ111" s="3"/>
      <c r="BA111">
        <v>111</v>
      </c>
      <c r="BB111" t="s">
        <v>329</v>
      </c>
    </row>
    <row r="112" spans="1:54">
      <c r="A112" s="1">
        <f t="shared" si="4"/>
        <v>64.5</v>
      </c>
      <c r="B112">
        <v>1.53130647978131</v>
      </c>
      <c r="C112">
        <v>1.52302513073219</v>
      </c>
      <c r="D112">
        <v>1.51396264049792</v>
      </c>
      <c r="E112">
        <v>1.50412274445268</v>
      </c>
      <c r="F112">
        <v>1.49351021660017</v>
      </c>
      <c r="G112">
        <v>1.48213103677843</v>
      </c>
      <c r="H112">
        <v>1.46999256460499</v>
      </c>
      <c r="I112">
        <v>1.45710371758022</v>
      </c>
      <c r="J112">
        <v>1.44347515027104</v>
      </c>
      <c r="K112">
        <v>1.42911943098916</v>
      </c>
      <c r="L112">
        <v>1.41405121188186</v>
      </c>
      <c r="M112">
        <v>1.39828738789605</v>
      </c>
      <c r="N112">
        <v>1.38184723969203</v>
      </c>
      <c r="O112">
        <v>1.36475255530751</v>
      </c>
      <c r="P112">
        <v>1.34702772524454</v>
      </c>
      <c r="Q112">
        <v>1.32869980570826</v>
      </c>
      <c r="R112">
        <v>1.3097985450016</v>
      </c>
      <c r="S112">
        <v>1.29035636859941</v>
      </c>
      <c r="T112">
        <v>1.27040831920283</v>
      </c>
      <c r="U112">
        <v>1.24999194911028</v>
      </c>
      <c r="V112">
        <v>1.22914716351524</v>
      </c>
      <c r="W112">
        <v>1.20791601481488</v>
      </c>
      <c r="X112">
        <v>1.1863424496298</v>
      </c>
      <c r="Y112">
        <v>1.164472011917</v>
      </c>
      <c r="Z112">
        <v>1.14235150721886</v>
      </c>
      <c r="AA112">
        <v>1.12002863463235</v>
      </c>
      <c r="AB112">
        <v>1.09755159441217</v>
      </c>
      <c r="AC112">
        <v>1.07496868015124</v>
      </c>
      <c r="AD112">
        <v>1.05232786514423</v>
      </c>
      <c r="AE112">
        <v>1.02967639278804</v>
      </c>
      <c r="AF112">
        <v>1.00706038069144</v>
      </c>
      <c r="AG112">
        <v>0.984524447566132</v>
      </c>
      <c r="AH112">
        <v>0.962111370995524</v>
      </c>
      <c r="AI112">
        <v>0.9398617828915</v>
      </c>
      <c r="AJ112">
        <v>0.917813907936795</v>
      </c>
      <c r="AK112">
        <v>0.896003348666617</v>
      </c>
      <c r="AL112">
        <v>0.87446291916309</v>
      </c>
      <c r="AM112">
        <v>0.853222527710785</v>
      </c>
      <c r="AN112">
        <v>0.83230910726867</v>
      </c>
      <c r="AO112">
        <v>0.811746591314371</v>
      </c>
      <c r="AP112">
        <v>0.79155593155223</v>
      </c>
      <c r="AQ112" s="3"/>
      <c r="BA112">
        <v>112</v>
      </c>
      <c r="BB112" t="s">
        <v>330</v>
      </c>
    </row>
    <row r="113" spans="1:54">
      <c r="A113" s="1">
        <f t="shared" si="4"/>
        <v>65</v>
      </c>
      <c r="B113">
        <v>1.53160993575573</v>
      </c>
      <c r="C113">
        <v>1.52339204907912</v>
      </c>
      <c r="D113">
        <v>1.51439889268946</v>
      </c>
      <c r="E113">
        <v>1.50463411698865</v>
      </c>
      <c r="F113">
        <v>1.49410238766235</v>
      </c>
      <c r="G113">
        <v>1.48280954931683</v>
      </c>
      <c r="H113">
        <v>1.47076279581671</v>
      </c>
      <c r="I113">
        <v>1.45797084483487</v>
      </c>
      <c r="J113">
        <v>1.44444411364631</v>
      </c>
      <c r="K113">
        <v>1.43019489270518</v>
      </c>
      <c r="L113">
        <v>1.41523751306148</v>
      </c>
      <c r="M113">
        <v>1.39958850322757</v>
      </c>
      <c r="N113">
        <v>1.38326673072517</v>
      </c>
      <c r="O113">
        <v>1.36629352326773</v>
      </c>
      <c r="P113">
        <v>1.34869276439599</v>
      </c>
      <c r="Q113">
        <v>1.33049095842363</v>
      </c>
      <c r="R113">
        <v>1.31171725979753</v>
      </c>
      <c r="S113">
        <v>1.29240346245871</v>
      </c>
      <c r="T113">
        <v>1.27258394552076</v>
      </c>
      <c r="U113">
        <v>1.25229557256273</v>
      </c>
      <c r="V113">
        <v>1.23157754304691</v>
      </c>
      <c r="W113">
        <v>1.21047119578339</v>
      </c>
      <c r="X113">
        <v>1.18901976591863</v>
      </c>
      <c r="Y113">
        <v>1.16726809855343</v>
      </c>
      <c r="Z113">
        <v>1.14526232371291</v>
      </c>
      <c r="AA113">
        <v>1.12304949890473</v>
      </c>
      <c r="AB113">
        <v>1.10067722682121</v>
      </c>
      <c r="AC113">
        <v>1.07819325678059</v>
      </c>
      <c r="AD113">
        <v>1.05564507919462</v>
      </c>
      <c r="AE113">
        <v>1.03307952264632</v>
      </c>
      <c r="AF113">
        <v>1.01054236304308</v>
      </c>
      <c r="AG113">
        <v>0.988077953784564</v>
      </c>
      <c r="AH113">
        <v>0.965728884988433</v>
      </c>
      <c r="AI113">
        <v>0.943535678609817</v>
      </c>
      <c r="AJ113">
        <v>0.921536524852026</v>
      </c>
      <c r="AK113">
        <v>0.89976706368535</v>
      </c>
      <c r="AL113">
        <v>0.878260213661255</v>
      </c>
      <c r="AM113">
        <v>0.857046048618705</v>
      </c>
      <c r="AN113">
        <v>0.83615172140534</v>
      </c>
      <c r="AO113">
        <v>0.815601432440152</v>
      </c>
      <c r="AP113">
        <v>0.79541643986977</v>
      </c>
      <c r="AQ113" s="3"/>
      <c r="BA113">
        <v>113</v>
      </c>
      <c r="BB113" t="s">
        <v>331</v>
      </c>
    </row>
    <row r="114" spans="1:54">
      <c r="A114" s="1">
        <f t="shared" si="4"/>
        <v>65.5</v>
      </c>
      <c r="B114">
        <v>1.53190876587112</v>
      </c>
      <c r="C114">
        <v>1.52375337810267</v>
      </c>
      <c r="D114">
        <v>1.51482850554389</v>
      </c>
      <c r="E114">
        <v>1.50513771617804</v>
      </c>
      <c r="F114">
        <v>1.49468557061755</v>
      </c>
      <c r="G114">
        <v>1.48347778227136</v>
      </c>
      <c r="H114">
        <v>1.47152138417083</v>
      </c>
      <c r="I114">
        <v>1.4588249000549</v>
      </c>
      <c r="J114">
        <v>1.44539851685118</v>
      </c>
      <c r="K114">
        <v>1.43125425521223</v>
      </c>
      <c r="L114">
        <v>1.41640613429671</v>
      </c>
      <c r="M114">
        <v>1.40087032654888</v>
      </c>
      <c r="N114">
        <v>1.38466529785653</v>
      </c>
      <c r="O114">
        <v>1.36781192819112</v>
      </c>
      <c r="P114">
        <v>1.35033360768938</v>
      </c>
      <c r="Q114">
        <v>1.33225630315872</v>
      </c>
      <c r="R114">
        <v>1.31360859021045</v>
      </c>
      <c r="S114">
        <v>1.29442164667128</v>
      </c>
      <c r="T114">
        <v>1.27472920360977</v>
      </c>
      <c r="U114">
        <v>1.25456745124226</v>
      </c>
      <c r="V114">
        <v>1.23397489813852</v>
      </c>
      <c r="W114">
        <v>1.21299218349853</v>
      </c>
      <c r="X114">
        <v>1.19166184376853</v>
      </c>
      <c r="Y114">
        <v>1.1700280364397</v>
      </c>
      <c r="Z114">
        <v>1.1481362254471</v>
      </c>
      <c r="AA114">
        <v>1.1260328340712</v>
      </c>
      <c r="AB114">
        <v>1.103764872552</v>
      </c>
      <c r="AC114">
        <v>1.08137954867225</v>
      </c>
      <c r="AD114">
        <v>1.0589238702844</v>
      </c>
      <c r="AE114">
        <v>1.0364442490969</v>
      </c>
      <c r="AF114">
        <v>1.0139861149757</v>
      </c>
      <c r="AG114">
        <v>0.991593549561431</v>
      </c>
      <c r="AH114">
        <v>0.969308947182124</v>
      </c>
      <c r="AI114">
        <v>0.947172709911212</v>
      </c>
      <c r="AJ114">
        <v>0.925222982253845</v>
      </c>
      <c r="AK114">
        <v>0.903495429427301</v>
      </c>
      <c r="AL114">
        <v>0.88202306162223</v>
      </c>
      <c r="AM114">
        <v>0.860836105077048</v>
      </c>
      <c r="AN114">
        <v>0.839961919344436</v>
      </c>
      <c r="AO114">
        <v>0.819424958838643</v>
      </c>
      <c r="AP114">
        <v>0.799246775670091</v>
      </c>
      <c r="AQ114" s="3"/>
      <c r="BA114">
        <v>114</v>
      </c>
      <c r="BB114" t="s">
        <v>332</v>
      </c>
    </row>
    <row r="115" spans="1:54">
      <c r="A115" s="1">
        <f t="shared" si="4"/>
        <v>66</v>
      </c>
      <c r="B115">
        <v>1.53220307504957</v>
      </c>
      <c r="C115">
        <v>1.52410924445974</v>
      </c>
      <c r="D115">
        <v>1.51525162932798</v>
      </c>
      <c r="E115">
        <v>1.50563371767751</v>
      </c>
      <c r="F115">
        <v>1.49525996817195</v>
      </c>
      <c r="G115">
        <v>1.48413596690852</v>
      </c>
      <c r="H115">
        <v>1.47226859082457</v>
      </c>
      <c r="I115">
        <v>1.45966617540415</v>
      </c>
      <c r="J115">
        <v>1.44633868392166</v>
      </c>
      <c r="K115">
        <v>1.43229787499699</v>
      </c>
      <c r="L115">
        <v>1.41755746477979</v>
      </c>
      <c r="M115">
        <v>1.40213327965448</v>
      </c>
      <c r="N115">
        <v>1.38604339498989</v>
      </c>
      <c r="O115">
        <v>1.36930825518174</v>
      </c>
      <c r="P115">
        <v>1.35195077008477</v>
      </c>
      <c r="Q115">
        <v>1.33399638293935</v>
      </c>
      <c r="R115">
        <v>1.3154731050956</v>
      </c>
      <c r="S115">
        <v>1.29641151325096</v>
      </c>
      <c r="T115">
        <v>1.27684470556153</v>
      </c>
      <c r="U115">
        <v>1.25680821386545</v>
      </c>
      <c r="V115">
        <v>1.23633987035739</v>
      </c>
      <c r="W115">
        <v>1.21547962834604</v>
      </c>
      <c r="X115">
        <v>1.19426933816692</v>
      </c>
      <c r="Y115">
        <v>1.1727524808458</v>
      </c>
      <c r="Z115">
        <v>1.1509738636398</v>
      </c>
      <c r="AA115">
        <v>1.12897928303874</v>
      </c>
      <c r="AB115">
        <v>1.10681516210266</v>
      </c>
      <c r="AC115">
        <v>1.0845281700631</v>
      </c>
      <c r="AD115">
        <v>1.06216483285641</v>
      </c>
      <c r="AE115">
        <v>1.03977114363846</v>
      </c>
      <c r="AF115">
        <v>1.01739218232611</v>
      </c>
      <c r="AG115">
        <v>0.995071752821054</v>
      </c>
      <c r="AH115">
        <v>0.972852045824301</v>
      </c>
      <c r="AI115">
        <v>0.950773334093042</v>
      </c>
      <c r="AJ115">
        <v>0.92887370569562</v>
      </c>
      <c r="AK115">
        <v>0.907188839365251</v>
      </c>
      <c r="AL115">
        <v>0.885751824525006</v>
      </c>
      <c r="AM115">
        <v>0.86459302703926</v>
      </c>
      <c r="AN115">
        <v>0.843740000315836</v>
      </c>
      <c r="AO115">
        <v>0.823217440100769</v>
      </c>
      <c r="AP115">
        <v>0.803047180220203</v>
      </c>
      <c r="AQ115" s="3"/>
      <c r="BA115">
        <v>115</v>
      </c>
      <c r="BB115" t="s">
        <v>333</v>
      </c>
    </row>
    <row r="116" spans="1:54">
      <c r="A116" s="1">
        <f t="shared" si="4"/>
        <v>66.5</v>
      </c>
      <c r="B116">
        <v>1.53249296506541</v>
      </c>
      <c r="C116">
        <v>1.52445977101184</v>
      </c>
      <c r="D116">
        <v>1.51566840981246</v>
      </c>
      <c r="E116">
        <v>1.50612229189815</v>
      </c>
      <c r="F116">
        <v>1.49582577699325</v>
      </c>
      <c r="G116">
        <v>1.4847843276264</v>
      </c>
      <c r="H116">
        <v>1.47300466920767</v>
      </c>
      <c r="I116">
        <v>1.46049495444005</v>
      </c>
      <c r="J116">
        <v>1.44726492939923</v>
      </c>
      <c r="K116">
        <v>1.43332609816632</v>
      </c>
      <c r="L116">
        <v>1.41869188245416</v>
      </c>
      <c r="M116">
        <v>1.40337777225175</v>
      </c>
      <c r="N116">
        <v>1.38740146314965</v>
      </c>
      <c r="O116">
        <v>1.3707829757341</v>
      </c>
      <c r="P116">
        <v>1.35354475228045</v>
      </c>
      <c r="Q116">
        <v>1.33571172597091</v>
      </c>
      <c r="R116">
        <v>1.31731135803728</v>
      </c>
      <c r="S116">
        <v>1.29837363861136</v>
      </c>
      <c r="T116">
        <v>1.27893104767023</v>
      </c>
      <c r="U116">
        <v>1.25901847329436</v>
      </c>
      <c r="V116">
        <v>1.23867308550435</v>
      </c>
      <c r="W116">
        <v>1.21793416517963</v>
      </c>
      <c r="X116">
        <v>1.19684288894758</v>
      </c>
      <c r="Y116">
        <v>1.17544207240386</v>
      </c>
      <c r="Z116">
        <v>1.15377587551474</v>
      </c>
      <c r="AA116">
        <v>1.13188947547673</v>
      </c>
      <c r="AB116">
        <v>1.10982871358814</v>
      </c>
      <c r="AC116">
        <v>1.08763972374005</v>
      </c>
      <c r="AD116">
        <v>1.06536855089519</v>
      </c>
      <c r="AE116">
        <v>1.04306076834072</v>
      </c>
      <c r="AF116">
        <v>1.02076110254835</v>
      </c>
      <c r="AG116">
        <v>0.998513074148282</v>
      </c>
      <c r="AH116">
        <v>0.976358662845198</v>
      </c>
      <c r="AI116">
        <v>0.954338003119719</v>
      </c>
      <c r="AJ116">
        <v>0.932489116331115</v>
      </c>
      <c r="AK116">
        <v>0.910847683443575</v>
      </c>
      <c r="AL116">
        <v>0.88944686112107</v>
      </c>
      <c r="AM116">
        <v>0.868317142456512</v>
      </c>
      <c r="AN116">
        <v>0.847486262193896</v>
      </c>
      <c r="AO116">
        <v>0.826979145029746</v>
      </c>
      <c r="AP116">
        <v>0.806817894489818</v>
      </c>
      <c r="AQ116" s="3"/>
      <c r="BA116">
        <v>116</v>
      </c>
      <c r="BB116" t="s">
        <v>334</v>
      </c>
    </row>
    <row r="117" spans="1:54">
      <c r="A117" s="1">
        <f t="shared" si="4"/>
        <v>67</v>
      </c>
      <c r="B117">
        <v>1.53277853466238</v>
      </c>
      <c r="C117">
        <v>1.5248050769661</v>
      </c>
      <c r="D117">
        <v>1.51607898843869</v>
      </c>
      <c r="E117">
        <v>1.50660360419963</v>
      </c>
      <c r="F117">
        <v>1.49638318793337</v>
      </c>
      <c r="G117">
        <v>1.48542308220712</v>
      </c>
      <c r="H117">
        <v>1.47372986530518</v>
      </c>
      <c r="I117">
        <v>1.46131151242691</v>
      </c>
      <c r="J117">
        <v>1.44817755867425</v>
      </c>
      <c r="K117">
        <v>1.43433926081986</v>
      </c>
      <c r="L117">
        <v>1.41980975441456</v>
      </c>
      <c r="M117">
        <v>1.40460420238645</v>
      </c>
      <c r="N117">
        <v>1.38873993092888</v>
      </c>
      <c r="O117">
        <v>1.37223654819997</v>
      </c>
      <c r="P117">
        <v>1.35511604119433</v>
      </c>
      <c r="Q117">
        <v>1.33740284612951</v>
      </c>
      <c r="R117">
        <v>1.31912388784446</v>
      </c>
      <c r="S117">
        <v>1.30030858406024</v>
      </c>
      <c r="T117">
        <v>1.28098881091993</v>
      </c>
      <c r="U117">
        <v>1.26119882701087</v>
      </c>
      <c r="V117">
        <v>1.24097515406932</v>
      </c>
      <c r="W117">
        <v>1.22035641375234</v>
      </c>
      <c r="X117">
        <v>1.19938312119278</v>
      </c>
      <c r="Y117">
        <v>1.17809743747713</v>
      </c>
      <c r="Z117">
        <v>1.15654288463333</v>
      </c>
      <c r="AA117">
        <v>1.13476402811024</v>
      </c>
      <c r="AB117">
        <v>1.1128061329931</v>
      </c>
      <c r="AC117">
        <v>1.09071480125204</v>
      </c>
      <c r="AD117">
        <v>1.06853559809884</v>
      </c>
      <c r="AE117">
        <v>1.04631367597761</v>
      </c>
      <c r="AF117">
        <v>1.02409340481054</v>
      </c>
      <c r="AG117">
        <v>1.00191801685184</v>
      </c>
      <c r="AH117">
        <v>0.979829273890876</v>
      </c>
      <c r="AI117">
        <v>0.957867163629694</v>
      </c>
      <c r="AJ117">
        <v>0.93606963089905</v>
      </c>
      <c r="AK117">
        <v>0.914472348044268</v>
      </c>
      <c r="AL117">
        <v>0.893108527385665</v>
      </c>
      <c r="AM117">
        <v>0.872008777217729</v>
      </c>
      <c r="AN117">
        <v>0.851201001429492</v>
      </c>
      <c r="AO117">
        <v>0.830710341568006</v>
      </c>
      <c r="AP117">
        <v>0.810559159075627</v>
      </c>
      <c r="AQ117" s="3"/>
      <c r="BA117">
        <v>117</v>
      </c>
      <c r="BB117" t="s">
        <v>335</v>
      </c>
    </row>
    <row r="118" spans="1:54">
      <c r="A118" s="1">
        <f t="shared" si="4"/>
        <v>67.5</v>
      </c>
      <c r="B118">
        <v>1.53305987966552</v>
      </c>
      <c r="C118">
        <v>1.52514527801001</v>
      </c>
      <c r="D118">
        <v>1.5164835024781</v>
      </c>
      <c r="E118">
        <v>1.50707781507567</v>
      </c>
      <c r="F118">
        <v>1.49693238624154</v>
      </c>
      <c r="G118">
        <v>1.48605244205827</v>
      </c>
      <c r="H118">
        <v>1.47444441792798</v>
      </c>
      <c r="I118">
        <v>1.46211611663565</v>
      </c>
      <c r="J118">
        <v>1.4490768683146</v>
      </c>
      <c r="K118">
        <v>1.43533768940681</v>
      </c>
      <c r="L118">
        <v>1.42091143729049</v>
      </c>
      <c r="M118">
        <v>1.40581295685066</v>
      </c>
      <c r="N118">
        <v>1.39005921491895</v>
      </c>
      <c r="O118">
        <v>1.37366941823643</v>
      </c>
      <c r="P118">
        <v>1.35666511042638</v>
      </c>
      <c r="Q118">
        <v>1.33907024343427</v>
      </c>
      <c r="R118">
        <v>1.3209112190279</v>
      </c>
      <c r="S118">
        <v>1.30221689627602</v>
      </c>
      <c r="T118">
        <v>1.28301856145475</v>
      </c>
      <c r="U118">
        <v>1.26334985757493</v>
      </c>
      <c r="V118">
        <v>1.24324667167216</v>
      </c>
      <c r="W118">
        <v>1.22274697913474</v>
      </c>
      <c r="X118">
        <v>1.20189064562423</v>
      </c>
      <c r="Y118">
        <v>1.18071918851931</v>
      </c>
      <c r="Z118">
        <v>1.15927550121922</v>
      </c>
      <c r="AA118">
        <v>1.13760354500743</v>
      </c>
      <c r="AB118">
        <v>1.11574801442068</v>
      </c>
      <c r="AC118">
        <v>1.09375398311975</v>
      </c>
      <c r="AD118">
        <v>1.07166653804998</v>
      </c>
      <c r="AE118">
        <v>1.04953041016087</v>
      </c>
      <c r="AF118">
        <v>1.02738961009319</v>
      </c>
      <c r="AG118">
        <v>1.0052870770301</v>
      </c>
      <c r="AH118">
        <v>0.983264348359654</v>
      </c>
      <c r="AI118">
        <v>0.961361256946053</v>
      </c>
      <c r="AJ118">
        <v>0.939615661711567</v>
      </c>
      <c r="AK118">
        <v>0.918063215957002</v>
      </c>
      <c r="AL118">
        <v>0.896737176473073</v>
      </c>
      <c r="AM118">
        <v>0.875668255093531</v>
      </c>
      <c r="AN118">
        <v>0.854884512985757</v>
      </c>
      <c r="AO118">
        <v>0.834411296727544</v>
      </c>
      <c r="AP118">
        <v>0.814271214128708</v>
      </c>
      <c r="AQ118" s="3"/>
      <c r="BA118">
        <v>118</v>
      </c>
      <c r="BB118" t="s">
        <v>336</v>
      </c>
    </row>
    <row r="119" spans="1:54">
      <c r="A119" s="1">
        <f t="shared" si="4"/>
        <v>68</v>
      </c>
      <c r="B119">
        <v>1.53333709308818</v>
      </c>
      <c r="C119">
        <v>1.52548048644034</v>
      </c>
      <c r="D119">
        <v>1.51688208518458</v>
      </c>
      <c r="E119">
        <v>1.50754508033153</v>
      </c>
      <c r="F119">
        <v>1.49747355176798</v>
      </c>
      <c r="G119">
        <v>1.48667261244394</v>
      </c>
      <c r="H119">
        <v>1.47514855897159</v>
      </c>
      <c r="I119">
        <v>1.46290902663073</v>
      </c>
      <c r="J119">
        <v>1.44996314638044</v>
      </c>
      <c r="K119">
        <v>1.43632170106756</v>
      </c>
      <c r="L119">
        <v>1.42199727761349</v>
      </c>
      <c r="M119">
        <v>1.40700441157378</v>
      </c>
      <c r="N119">
        <v>1.39135972012169</v>
      </c>
      <c r="O119">
        <v>1.37508201923604</v>
      </c>
      <c r="P119">
        <v>1.35819242070298</v>
      </c>
      <c r="Q119">
        <v>1.34071440450145</v>
      </c>
      <c r="R119">
        <v>1.32267386225928</v>
      </c>
      <c r="S119">
        <v>1.30409910776686</v>
      </c>
      <c r="T119">
        <v>1.28502085103261</v>
      </c>
      <c r="U119">
        <v>1.26547213306755</v>
      </c>
      <c r="V119">
        <v>1.24548821948947</v>
      </c>
      <c r="W119">
        <v>1.22510645212054</v>
      </c>
      <c r="X119">
        <v>1.20436605898286</v>
      </c>
      <c r="Y119">
        <v>1.18330792442466</v>
      </c>
      <c r="Z119">
        <v>1.16197432247543</v>
      </c>
      <c r="AA119">
        <v>1.14040861786119</v>
      </c>
      <c r="AB119">
        <v>1.1186549403372</v>
      </c>
      <c r="AC119">
        <v>1.09675783904272</v>
      </c>
      <c r="AD119">
        <v>1.07476192438571</v>
      </c>
      <c r="AE119">
        <v>1.05271150547394</v>
      </c>
      <c r="AF119">
        <v>1.03065023128885</v>
      </c>
      <c r="AG119">
        <v>1.0086207436391</v>
      </c>
      <c r="AH119">
        <v>0.986664349441418</v>
      </c>
      <c r="AI119">
        <v>0.964820719090497</v>
      </c>
      <c r="AJ119">
        <v>0.943127616646386</v>
      </c>
      <c r="AK119">
        <v>0.921620666353036</v>
      </c>
      <c r="AL119">
        <v>0.90033315867577</v>
      </c>
      <c r="AM119">
        <v>0.87929589768394</v>
      </c>
      <c r="AN119">
        <v>0.858537090277408</v>
      </c>
      <c r="AO119">
        <v>0.838082276523612</v>
      </c>
      <c r="AP119">
        <v>0.817954299284986</v>
      </c>
      <c r="AQ119" s="3"/>
      <c r="BA119">
        <v>119</v>
      </c>
      <c r="BB119" t="s">
        <v>337</v>
      </c>
    </row>
    <row r="120" spans="1:54">
      <c r="A120" s="1">
        <f t="shared" si="4"/>
        <v>68.5</v>
      </c>
      <c r="B120">
        <v>1.53361026523434</v>
      </c>
      <c r="C120">
        <v>1.5258108112863</v>
      </c>
      <c r="D120">
        <v>1.5172748659402</v>
      </c>
      <c r="E120">
        <v>1.50800555125371</v>
      </c>
      <c r="F120">
        <v>1.4980068591588</v>
      </c>
      <c r="G120">
        <v>1.48728379270568</v>
      </c>
      <c r="H120">
        <v>1.47584251366396</v>
      </c>
      <c r="I120">
        <v>1.4636904945448</v>
      </c>
      <c r="J120">
        <v>1.45083667272552</v>
      </c>
      <c r="K120">
        <v>1.43729160396112</v>
      </c>
      <c r="L120">
        <v>1.42306761216927</v>
      </c>
      <c r="M120">
        <v>1.40817893199759</v>
      </c>
      <c r="N120">
        <v>1.392641840345</v>
      </c>
      <c r="O120">
        <v>1.37647477273982</v>
      </c>
      <c r="P120">
        <v>1.35969842030382</v>
      </c>
      <c r="Q120">
        <v>1.34233580298128</v>
      </c>
      <c r="R120">
        <v>1.32441231481339</v>
      </c>
      <c r="S120">
        <v>1.3059557373133</v>
      </c>
      <c r="T120">
        <v>1.28699621746314</v>
      </c>
      <c r="U120">
        <v>1.26756620751883</v>
      </c>
      <c r="V120">
        <v>1.2477003646677</v>
      </c>
      <c r="W120">
        <v>1.22743540961996</v>
      </c>
      <c r="X120">
        <v>1.20680994439793</v>
      </c>
      <c r="Y120">
        <v>1.18586423086893</v>
      </c>
      <c r="Z120">
        <v>1.1646399328939</v>
      </c>
      <c r="AA120">
        <v>1.14317982626501</v>
      </c>
      <c r="AB120">
        <v>1.1215274818127</v>
      </c>
      <c r="AC120">
        <v>1.0997269281039</v>
      </c>
      <c r="AD120">
        <v>1.07782230096628</v>
      </c>
      <c r="AE120">
        <v>1.05585748760581</v>
      </c>
      <c r="AF120">
        <v>1.03387577330295</v>
      </c>
      <c r="AG120">
        <v>1.01191949856247</v>
      </c>
      <c r="AH120">
        <v>0.990029734159625</v>
      </c>
      <c r="AI120">
        <v>0.968245980800496</v>
      </c>
      <c r="AJ120">
        <v>0.946605899142472</v>
      </c>
      <c r="AK120">
        <v>0.925145074762795</v>
      </c>
      <c r="AL120">
        <v>0.903896821387274</v>
      </c>
      <c r="AM120">
        <v>0.882892024369718</v>
      </c>
      <c r="AN120">
        <v>0.862159025113538</v>
      </c>
      <c r="AO120">
        <v>0.841723545911648</v>
      </c>
      <c r="AP120">
        <v>0.821608653598658</v>
      </c>
      <c r="AQ120" s="3"/>
      <c r="BA120">
        <v>120</v>
      </c>
      <c r="BB120" t="s">
        <v>338</v>
      </c>
    </row>
    <row r="121" spans="1:54">
      <c r="A121" s="1">
        <f t="shared" si="4"/>
        <v>69</v>
      </c>
      <c r="B121">
        <v>1.5338794837965</v>
      </c>
      <c r="C121">
        <v>1.52613635842752</v>
      </c>
      <c r="D121">
        <v>1.51766197039476</v>
      </c>
      <c r="E121">
        <v>1.50845937477241</v>
      </c>
      <c r="F121">
        <v>1.49853247804259</v>
      </c>
      <c r="G121">
        <v>1.48788617647414</v>
      </c>
      <c r="H121">
        <v>1.47652650080263</v>
      </c>
      <c r="I121">
        <v>1.46446076534177</v>
      </c>
      <c r="J121">
        <v>1.45169771928598</v>
      </c>
      <c r="K121">
        <v>1.43824769757887</v>
      </c>
      <c r="L121">
        <v>1.42412276833534</v>
      </c>
      <c r="M121">
        <v>1.40933687343602</v>
      </c>
      <c r="N121">
        <v>1.39390595858241</v>
      </c>
      <c r="O121">
        <v>1.37784808883402</v>
      </c>
      <c r="P121">
        <v>1.36118354547234</v>
      </c>
      <c r="Q121">
        <v>1.34393489997817</v>
      </c>
      <c r="R121">
        <v>1.32612706099387</v>
      </c>
      <c r="S121">
        <v>1.30778729039485</v>
      </c>
      <c r="T121">
        <v>1.28894518503038</v>
      </c>
      <c r="U121">
        <v>1.26963262132174</v>
      </c>
      <c r="V121">
        <v>1.2498836607231</v>
      </c>
      <c r="W121">
        <v>1.22973441504113</v>
      </c>
      <c r="X121">
        <v>1.20922287174564</v>
      </c>
      <c r="Y121">
        <v>1.18838868064142</v>
      </c>
      <c r="Z121">
        <v>1.16727290455783</v>
      </c>
      <c r="AA121">
        <v>1.14591773798314</v>
      </c>
      <c r="AB121">
        <v>1.12436619875732</v>
      </c>
      <c r="AC121">
        <v>1.10266179897152</v>
      </c>
      <c r="AD121">
        <v>1.08084820204255</v>
      </c>
      <c r="AE121">
        <v>1.05896887348481</v>
      </c>
      <c r="AF121">
        <v>1.0370667331554</v>
      </c>
      <c r="AG121">
        <v>1.01518381668326</v>
      </c>
      <c r="AH121">
        <v>0.99336095341576</v>
      </c>
      <c r="AI121">
        <v>0.971637467549411</v>
      </c>
      <c r="AJ121">
        <v>0.950050908198991</v>
      </c>
      <c r="AK121">
        <v>0.928636813056928</v>
      </c>
      <c r="AL121">
        <v>0.907428509068539</v>
      </c>
      <c r="AM121">
        <v>0.886456952267182</v>
      </c>
      <c r="AN121">
        <v>0.865750607643745</v>
      </c>
      <c r="AO121">
        <v>0.845335368727341</v>
      </c>
      <c r="AP121">
        <v>0.825234515478505</v>
      </c>
      <c r="AQ121" s="3"/>
      <c r="BA121">
        <v>121</v>
      </c>
      <c r="BB121" t="s">
        <v>339</v>
      </c>
    </row>
    <row r="122" spans="1:54">
      <c r="A122" s="1">
        <f t="shared" si="4"/>
        <v>69.5</v>
      </c>
      <c r="B122">
        <v>1.53414483394937</v>
      </c>
      <c r="C122">
        <v>1.52645723070685</v>
      </c>
      <c r="D122">
        <v>1.51804352059923</v>
      </c>
      <c r="E122">
        <v>1.50890669361698</v>
      </c>
      <c r="F122">
        <v>1.49905057320898</v>
      </c>
      <c r="G122">
        <v>1.4884799518716</v>
      </c>
      <c r="H122">
        <v>1.47720073298193</v>
      </c>
      <c r="I122">
        <v>1.46522007706881</v>
      </c>
      <c r="J122">
        <v>1.45254655035696</v>
      </c>
      <c r="K122">
        <v>1.43919027304531</v>
      </c>
      <c r="L122">
        <v>1.42516306440478</v>
      </c>
      <c r="M122">
        <v>1.41047858142031</v>
      </c>
      <c r="N122">
        <v>1.39515244737763</v>
      </c>
      <c r="O122">
        <v>1.37920236653116</v>
      </c>
      <c r="P122">
        <v>1.3626482208103</v>
      </c>
      <c r="Q122">
        <v>1.3455121444551</v>
      </c>
      <c r="R122">
        <v>1.32781857254328</v>
      </c>
      <c r="S122">
        <v>1.3095942596014</v>
      </c>
      <c r="T122">
        <v>1.29086826490079</v>
      </c>
      <c r="U122">
        <v>1.27167190163204</v>
      </c>
      <c r="V122">
        <v>1.25203864792892</v>
      </c>
      <c r="W122">
        <v>1.23200401866002</v>
      </c>
      <c r="X122">
        <v>1.21160539799765</v>
      </c>
      <c r="Y122">
        <v>1.19088183396832</v>
      </c>
      <c r="Z122">
        <v>1.16987379743678</v>
      </c>
      <c r="AA122">
        <v>1.14862290921502</v>
      </c>
      <c r="AB122">
        <v>1.12717164015352</v>
      </c>
      <c r="AC122">
        <v>1.10556299009822</v>
      </c>
      <c r="AD122">
        <v>1.08384015242189</v>
      </c>
      <c r="AE122">
        <v>1.06204617141212</v>
      </c>
      <c r="AF122">
        <v>1.04022360008312</v>
      </c>
      <c r="AG122">
        <v>1.01841416595729</v>
      </c>
      <c r="AH122">
        <v>0.996658452036073</v>
      </c>
      <c r="AI122">
        <v>0.974995599569396</v>
      </c>
      <c r="AJ122">
        <v>0.953463038377391</v>
      </c>
      <c r="AK122">
        <v>0.932096249430691</v>
      </c>
      <c r="AL122">
        <v>0.910928563217734</v>
      </c>
      <c r="AM122">
        <v>0.889990996186375</v>
      </c>
      <c r="AN122">
        <v>0.869312126307497</v>
      </c>
      <c r="AO122">
        <v>0.848918007629743</v>
      </c>
      <c r="AP122">
        <v>0.828832122627021</v>
      </c>
      <c r="AQ122" s="3"/>
      <c r="BA122">
        <v>122</v>
      </c>
      <c r="BB122" t="s">
        <v>340</v>
      </c>
    </row>
    <row r="123" spans="1:54">
      <c r="A123" s="1">
        <f t="shared" si="4"/>
        <v>70</v>
      </c>
      <c r="B123">
        <v>1.53440639843954</v>
      </c>
      <c r="C123">
        <v>1.5267735280384</v>
      </c>
      <c r="D123">
        <v>1.51841963513356</v>
      </c>
      <c r="E123">
        <v>1.50934764646481</v>
      </c>
      <c r="F123">
        <v>1.49956130477969</v>
      </c>
      <c r="G123">
        <v>1.48906530170608</v>
      </c>
      <c r="H123">
        <v>1.47786541681061</v>
      </c>
      <c r="I123">
        <v>1.46596866109787</v>
      </c>
      <c r="J123">
        <v>1.4533834228579</v>
      </c>
      <c r="K123">
        <v>1.44011961340645</v>
      </c>
      <c r="L123">
        <v>1.42618880989681</v>
      </c>
      <c r="M123">
        <v>1.41160439203032</v>
      </c>
      <c r="N123">
        <v>1.39638166917451</v>
      </c>
      <c r="O123">
        <v>1.38053799413633</v>
      </c>
      <c r="P123">
        <v>1.36409285965719</v>
      </c>
      <c r="Q123">
        <v>1.34706797362275</v>
      </c>
      <c r="R123">
        <v>1.32948730903814</v>
      </c>
      <c r="S123">
        <v>1.3113771250299</v>
      </c>
      <c r="T123">
        <v>1.29276595551722</v>
      </c>
      <c r="U123">
        <v>1.273684562755</v>
      </c>
      <c r="V123">
        <v>1.25416585369028</v>
      </c>
      <c r="W123">
        <v>1.2342447579792</v>
      </c>
      <c r="X123">
        <v>1.21395806755963</v>
      </c>
      <c r="Y123">
        <v>1.19334423882753</v>
      </c>
      <c r="Z123">
        <v>1.17244315967471</v>
      </c>
      <c r="AA123">
        <v>1.1512958848542</v>
      </c>
      <c r="AB123">
        <v>1.12994434428413</v>
      </c>
      <c r="AC123">
        <v>1.10843102991729</v>
      </c>
      <c r="AD123">
        <v>1.08679866763264</v>
      </c>
      <c r="AE123">
        <v>1.06508988119489</v>
      </c>
      <c r="AF123">
        <v>1.04334685564306</v>
      </c>
      <c r="AG123">
        <v>1.02161100748791</v>
      </c>
      <c r="AH123">
        <v>0.999922668820402</v>
      </c>
      <c r="AI123">
        <v>0.978320791876888</v>
      </c>
      <c r="AJ123">
        <v>0.956842679806432</v>
      </c>
      <c r="AK123">
        <v>0.935523748391477</v>
      </c>
      <c r="AL123">
        <v>0.914397322343257</v>
      </c>
      <c r="AM123">
        <v>0.893494468592454</v>
      </c>
      <c r="AN123">
        <v>0.872843867786608</v>
      </c>
      <c r="AO123">
        <v>0.85247172404732</v>
      </c>
      <c r="AP123">
        <v>0.832401711982262</v>
      </c>
      <c r="AQ123" s="3"/>
      <c r="BA123">
        <v>123</v>
      </c>
      <c r="BB123" t="s">
        <v>341</v>
      </c>
    </row>
    <row r="124" spans="1:54">
      <c r="A124" s="1">
        <f t="shared" si="4"/>
        <v>70.5</v>
      </c>
      <c r="B124">
        <v>1.53466425767138</v>
      </c>
      <c r="C124">
        <v>1.527085347511</v>
      </c>
      <c r="D124">
        <v>1.51879042922914</v>
      </c>
      <c r="E124">
        <v>1.50978236808392</v>
      </c>
      <c r="F124">
        <v>1.50006482837237</v>
      </c>
      <c r="G124">
        <v>1.48964240365722</v>
      </c>
      <c r="H124">
        <v>1.47852075312044</v>
      </c>
      <c r="I124">
        <v>1.46670674235712</v>
      </c>
      <c r="J124">
        <v>1.45420858658678</v>
      </c>
      <c r="K124">
        <v>1.44103599390648</v>
      </c>
      <c r="L124">
        <v>1.42720030585486</v>
      </c>
      <c r="M124">
        <v>1.41271463221262</v>
      </c>
      <c r="N124">
        <v>1.39759397665329</v>
      </c>
      <c r="O124">
        <v>1.38185534959911</v>
      </c>
      <c r="P124">
        <v>1.36551786445516</v>
      </c>
      <c r="Q124">
        <v>1.34860281331414</v>
      </c>
      <c r="R124">
        <v>1.33113371826954</v>
      </c>
      <c r="S124">
        <v>1.313136354667</v>
      </c>
      <c r="T124">
        <v>1.29463874297929</v>
      </c>
      <c r="U124">
        <v>1.27567110651921</v>
      </c>
      <c r="V124">
        <v>1.25626579290715</v>
      </c>
      <c r="W124">
        <v>1.23645715807577</v>
      </c>
      <c r="X124">
        <v>1.21628141260027</v>
      </c>
      <c r="Y124">
        <v>1.19577643125522</v>
      </c>
      <c r="Z124">
        <v>1.17498152787109</v>
      </c>
      <c r="AA124">
        <v>1.15393719874166</v>
      </c>
      <c r="AB124">
        <v>1.13268483895619</v>
      </c>
      <c r="AC124">
        <v>1.11126643703616</v>
      </c>
      <c r="AD124">
        <v>1.08972425408685</v>
      </c>
      <c r="AE124">
        <v>1.06810049427878</v>
      </c>
      <c r="AF124">
        <v>1.04643697381564</v>
      </c>
      <c r="AG124">
        <v>1.02477479560207</v>
      </c>
      <c r="AH124">
        <v>1.00315403659291</v>
      </c>
      <c r="AI124">
        <v>0.981613454300513</v>
      </c>
      <c r="AJ124">
        <v>0.960190218189975</v>
      </c>
      <c r="AK124">
        <v>0.93891967074934</v>
      </c>
      <c r="AL124">
        <v>0.917835121939849</v>
      </c>
      <c r="AM124">
        <v>0.896967679570166</v>
      </c>
      <c r="AN124">
        <v>0.876346116960717</v>
      </c>
      <c r="AO124">
        <v>0.855996778126864</v>
      </c>
      <c r="AP124">
        <v>0.835943519662362</v>
      </c>
      <c r="AQ124" s="3"/>
      <c r="BA124">
        <v>124</v>
      </c>
      <c r="BB124" t="s">
        <v>36</v>
      </c>
    </row>
    <row r="125" spans="1:54">
      <c r="A125" s="1">
        <f t="shared" si="4"/>
        <v>71</v>
      </c>
      <c r="B125">
        <v>1.53491848978925</v>
      </c>
      <c r="C125">
        <v>1.52739278348726</v>
      </c>
      <c r="D125">
        <v>1.51915601488601</v>
      </c>
      <c r="E125">
        <v>1.51021098946959</v>
      </c>
      <c r="F125">
        <v>1.50056129525758</v>
      </c>
      <c r="G125">
        <v>1.49021143045446</v>
      </c>
      <c r="H125">
        <v>1.47916693716608</v>
      </c>
      <c r="I125">
        <v>1.46743453955293</v>
      </c>
      <c r="J125">
        <v>1.45502228446405</v>
      </c>
      <c r="K125">
        <v>1.44193968225316</v>
      </c>
      <c r="L125">
        <v>1.4281978451326</v>
      </c>
      <c r="M125">
        <v>1.41380962008587</v>
      </c>
      <c r="N125">
        <v>1.39878971305358</v>
      </c>
      <c r="O125">
        <v>1.38315480085199</v>
      </c>
      <c r="P125">
        <v>1.36692362710014</v>
      </c>
      <c r="Q125">
        <v>1.35011707834527</v>
      </c>
      <c r="R125">
        <v>1.33275823660989</v>
      </c>
      <c r="S125">
        <v>1.31487240475809</v>
      </c>
      <c r="T125">
        <v>1.29648710141075</v>
      </c>
      <c r="U125">
        <v>1.27763202263807</v>
      </c>
      <c r="V125">
        <v>1.25833896832581</v>
      </c>
      <c r="W125">
        <v>1.23864173193877</v>
      </c>
      <c r="X125">
        <v>1.21857595337087</v>
      </c>
      <c r="Y125">
        <v>1.19817893564421</v>
      </c>
      <c r="Z125">
        <v>1.1774894273552</v>
      </c>
      <c r="AA125">
        <v>1.1565473739136</v>
      </c>
      <c r="AB125">
        <v>1.13539364172063</v>
      </c>
      <c r="AC125">
        <v>1.11406972042689</v>
      </c>
      <c r="AD125">
        <v>1.09261740924133</v>
      </c>
      <c r="AE125">
        <v>1.07107849387989</v>
      </c>
      <c r="AF125">
        <v>1.04949442110856</v>
      </c>
      <c r="AG125">
        <v>1.02790597792746</v>
      </c>
      <c r="AH125">
        <v>1.00635298225455</v>
      </c>
      <c r="AI125">
        <v>0.984873991511244</v>
      </c>
      <c r="AJ125">
        <v>0.963506034817394</v>
      </c>
      <c r="AK125">
        <v>0.942284373610357</v>
      </c>
      <c r="AL125">
        <v>0.921242294467651</v>
      </c>
      <c r="AM125">
        <v>0.900410936791296</v>
      </c>
      <c r="AN125">
        <v>0.879819156865669</v>
      </c>
      <c r="AO125">
        <v>0.859493428685161</v>
      </c>
      <c r="AP125">
        <v>0.839457780912626</v>
      </c>
      <c r="AQ125" s="3"/>
      <c r="BA125">
        <v>125</v>
      </c>
      <c r="BB125" t="s">
        <v>342</v>
      </c>
    </row>
    <row r="126" spans="1:54">
      <c r="A126" s="1">
        <f t="shared" si="4"/>
        <v>71.5</v>
      </c>
      <c r="B126">
        <v>1.53516917075636</v>
      </c>
      <c r="C126">
        <v>1.52769592769859</v>
      </c>
      <c r="D126">
        <v>1.51951650098525</v>
      </c>
      <c r="E126">
        <v>1.51063363797531</v>
      </c>
      <c r="F126">
        <v>1.50105085250931</v>
      </c>
      <c r="G126">
        <v>1.49077255004792</v>
      </c>
      <c r="H126">
        <v>1.4798041588169</v>
      </c>
      <c r="I126">
        <v>1.46815226538274</v>
      </c>
      <c r="J126">
        <v>1.45582475276663</v>
      </c>
      <c r="K126">
        <v>1.44283093887254</v>
      </c>
      <c r="L126">
        <v>1.42918171266862</v>
      </c>
      <c r="M126">
        <v>1.41488966523417</v>
      </c>
      <c r="N126">
        <v>1.3999692124848</v>
      </c>
      <c r="O126">
        <v>1.3844367061358</v>
      </c>
      <c r="P126">
        <v>1.36831052927966</v>
      </c>
      <c r="Q126">
        <v>1.35161117286249</v>
      </c>
      <c r="R126">
        <v>1.33436128936645</v>
      </c>
      <c r="S126">
        <v>1.31658572016341</v>
      </c>
      <c r="T126">
        <v>1.2983114933143</v>
      </c>
      <c r="U126">
        <v>1.27956778905939</v>
      </c>
      <c r="V126">
        <v>1.26038587087925</v>
      </c>
      <c r="W126">
        <v>1.24079898079651</v>
      </c>
      <c r="X126">
        <v>1.22084219851595</v>
      </c>
      <c r="Y126">
        <v>1.20055226503452</v>
      </c>
      <c r="Z126">
        <v>1.17996737245377</v>
      </c>
      <c r="AA126">
        <v>1.15912692284394</v>
      </c>
      <c r="AB126">
        <v>1.13807126008784</v>
      </c>
      <c r="AC126">
        <v>1.11684137961376</v>
      </c>
      <c r="AD126">
        <v>1.09547862175689</v>
      </c>
      <c r="AE126">
        <v>1.07402435511592</v>
      </c>
      <c r="AF126">
        <v>1.05251965666066</v>
      </c>
      <c r="AG126">
        <v>1.03100499547054</v>
      </c>
      <c r="AH126">
        <v>1.00951992683713</v>
      </c>
      <c r="AI126">
        <v>0.988102803054641</v>
      </c>
      <c r="AJ126">
        <v>0.966790506576431</v>
      </c>
      <c r="AK126">
        <v>0.945618210372691</v>
      </c>
      <c r="AL126">
        <v>0.924619169334091</v>
      </c>
      <c r="AM126">
        <v>0.903824545484953</v>
      </c>
      <c r="AN126">
        <v>0.883263268654679</v>
      </c>
      <c r="AO126">
        <v>0.862961933163336</v>
      </c>
      <c r="AP126">
        <v>0.842944730055117</v>
      </c>
      <c r="AQ126" s="3"/>
      <c r="BA126">
        <v>126</v>
      </c>
      <c r="BB126" t="s">
        <v>343</v>
      </c>
    </row>
    <row r="127" spans="1:54">
      <c r="A127" s="1">
        <f t="shared" si="4"/>
        <v>72</v>
      </c>
      <c r="B127">
        <v>1.53541637443028</v>
      </c>
      <c r="C127">
        <v>1.5279948693362</v>
      </c>
      <c r="D127">
        <v>1.51987199339676</v>
      </c>
      <c r="E127">
        <v>1.51105043743829</v>
      </c>
      <c r="F127">
        <v>1.50153364314927</v>
      </c>
      <c r="G127">
        <v>1.49132592577215</v>
      </c>
      <c r="H127">
        <v>1.48043260274075</v>
      </c>
      <c r="I127">
        <v>1.46886012673929</v>
      </c>
      <c r="J127">
        <v>1.45661622135243</v>
      </c>
      <c r="K127">
        <v>1.44371001715347</v>
      </c>
      <c r="L127">
        <v>1.43015218575015</v>
      </c>
      <c r="M127">
        <v>1.41595506898894</v>
      </c>
      <c r="N127">
        <v>1.40113280022459</v>
      </c>
      <c r="O127">
        <v>1.3857014143126</v>
      </c>
      <c r="P127">
        <v>1.36967894279796</v>
      </c>
      <c r="Q127">
        <v>1.35308549067699</v>
      </c>
      <c r="R127">
        <v>1.33594329112213</v>
      </c>
      <c r="S127">
        <v>1.31827673470162</v>
      </c>
      <c r="T127">
        <v>1.3001123699143</v>
      </c>
      <c r="U127">
        <v>1.28147887230348</v>
      </c>
      <c r="V127">
        <v>1.26240698001677</v>
      </c>
      <c r="W127">
        <v>1.24292939443399</v>
      </c>
      <c r="X127">
        <v>1.22308064537492</v>
      </c>
      <c r="Y127">
        <v>1.20289692139618</v>
      </c>
      <c r="Z127">
        <v>1.18241586675204</v>
      </c>
      <c r="AA127">
        <v>1.16167634768139</v>
      </c>
      <c r="AB127">
        <v>1.14071819173903</v>
      </c>
      <c r="AC127">
        <v>1.11958190485791</v>
      </c>
      <c r="AD127">
        <v>1.09830837165571</v>
      </c>
      <c r="AE127">
        <v>1.07693854513642</v>
      </c>
      <c r="AF127">
        <v>1.05551313234592</v>
      </c>
      <c r="AG127">
        <v>1.03407228269543</v>
      </c>
      <c r="AH127">
        <v>1.01265528555884</v>
      </c>
      <c r="AI127">
        <v>0.991300283385027</v>
      </c>
      <c r="AJ127">
        <v>0.970044005968364</v>
      </c>
      <c r="AK127">
        <v>0.948921530725193</v>
      </c>
      <c r="AL127">
        <v>0.927966072878446</v>
      </c>
      <c r="AM127">
        <v>0.90720880841059</v>
      </c>
      <c r="AN127">
        <v>0.88667873156219</v>
      </c>
      <c r="AO127">
        <v>0.866402547583774</v>
      </c>
      <c r="AP127">
        <v>0.846404600440691</v>
      </c>
      <c r="AQ127" s="3"/>
      <c r="BA127">
        <v>127</v>
      </c>
      <c r="BB127" t="s">
        <v>344</v>
      </c>
    </row>
    <row r="128" spans="1:54">
      <c r="A128" s="1">
        <f t="shared" si="4"/>
        <v>72.5</v>
      </c>
      <c r="B128">
        <v>1.53566017263539</v>
      </c>
      <c r="C128">
        <v>1.52828969513833</v>
      </c>
      <c r="D128">
        <v>1.52022259508246</v>
      </c>
      <c r="E128">
        <v>1.51146150829987</v>
      </c>
      <c r="F128">
        <v>1.50200980628524</v>
      </c>
      <c r="G128">
        <v>1.49187171650331</v>
      </c>
      <c r="H128">
        <v>1.48105244858045</v>
      </c>
      <c r="I128">
        <v>1.46955832490659</v>
      </c>
      <c r="J128">
        <v>1.45739691387594</v>
      </c>
      <c r="K128">
        <v>1.44457716368238</v>
      </c>
      <c r="L128">
        <v>1.43110953426641</v>
      </c>
      <c r="M128">
        <v>1.41700612469976</v>
      </c>
      <c r="N128">
        <v>1.40228079300566</v>
      </c>
      <c r="O128">
        <v>1.38694926516682</v>
      </c>
      <c r="P128">
        <v>1.37102922988904</v>
      </c>
      <c r="Q128">
        <v>1.35454041558713</v>
      </c>
      <c r="R128">
        <v>1.33750464606403</v>
      </c>
      <c r="S128">
        <v>1.31994587148142</v>
      </c>
      <c r="T128">
        <v>1.30189017148794</v>
      </c>
      <c r="U128">
        <v>1.28336572779014</v>
      </c>
      <c r="V128">
        <v>1.26440276402327</v>
      </c>
      <c r="W128">
        <v>1.24503345150079</v>
      </c>
      <c r="X128">
        <v>1.22529178027526</v>
      </c>
      <c r="Y128">
        <v>1.20521339590449</v>
      </c>
      <c r="Z128">
        <v>1.18483540334851</v>
      </c>
      <c r="AA128">
        <v>1.16419614048128</v>
      </c>
      <c r="AB128">
        <v>1.14333492473359</v>
      </c>
      <c r="AC128">
        <v>1.12229177733894</v>
      </c>
      <c r="AD128">
        <v>1.10110713047678</v>
      </c>
      <c r="AE128">
        <v>1.07982152325218</v>
      </c>
      <c r="AF128">
        <v>1.05847529287728</v>
      </c>
      <c r="AG128">
        <v>1.03710826760345</v>
      </c>
      <c r="AH128">
        <v>1.01575946788099</v>
      </c>
      <c r="AI128">
        <v>0.994466821901463</v>
      </c>
      <c r="AJ128">
        <v>0.973266901125332</v>
      </c>
      <c r="AK128">
        <v>0.952194680648432</v>
      </c>
      <c r="AL128">
        <v>0.931283328358976</v>
      </c>
      <c r="AM128">
        <v>0.910564025833631</v>
      </c>
      <c r="AN128">
        <v>0.890065822870312</v>
      </c>
      <c r="AO128">
        <v>0.869815526509548</v>
      </c>
      <c r="AP128">
        <v>0.849837624403379</v>
      </c>
      <c r="AQ128" s="3"/>
      <c r="BA128">
        <v>128</v>
      </c>
      <c r="BB128" t="s">
        <v>345</v>
      </c>
    </row>
    <row r="129" spans="1:54">
      <c r="A129" s="1">
        <f t="shared" si="4"/>
        <v>73</v>
      </c>
      <c r="B129">
        <v>1.53590063523233</v>
      </c>
      <c r="C129">
        <v>1.52858048947401</v>
      </c>
      <c r="D129">
        <v>1.52056840619544</v>
      </c>
      <c r="E129">
        <v>1.51186696772096</v>
      </c>
      <c r="F129">
        <v>1.50247947724388</v>
      </c>
      <c r="G129">
        <v>1.49241007680992</v>
      </c>
      <c r="H129">
        <v>1.48166387112307</v>
      </c>
      <c r="I129">
        <v>1.47024705574806</v>
      </c>
      <c r="J129">
        <v>1.45816704799514</v>
      </c>
      <c r="K129">
        <v>1.44543261846878</v>
      </c>
      <c r="L129">
        <v>1.43205402095201</v>
      </c>
      <c r="M129">
        <v>1.41804311799468</v>
      </c>
      <c r="N129">
        <v>1.40341349929172</v>
      </c>
      <c r="O129">
        <v>1.38818058969496</v>
      </c>
      <c r="P129">
        <v>1.37236174351802</v>
      </c>
      <c r="Q129">
        <v>1.35597632168893</v>
      </c>
      <c r="R129">
        <v>1.33904574830035</v>
      </c>
      <c r="S129">
        <v>1.32159354322159</v>
      </c>
      <c r="T129">
        <v>1.30364532768513</v>
      </c>
      <c r="U129">
        <v>1.28522880015504</v>
      </c>
      <c r="V129">
        <v>1.26637368032845</v>
      </c>
      <c r="W129">
        <v>1.24711161980978</v>
      </c>
      <c r="X129">
        <v>1.22747607881738</v>
      </c>
      <c r="Y129">
        <v>1.20750216920799</v>
      </c>
      <c r="Z129">
        <v>1.18722646510334</v>
      </c>
      <c r="AA129">
        <v>1.1666867834323</v>
      </c>
      <c r="AB129">
        <v>1.14592193771225</v>
      </c>
      <c r="AC129">
        <v>1.12497146933354</v>
      </c>
      <c r="AD129">
        <v>1.10387536142939</v>
      </c>
      <c r="AE129">
        <v>1.08267374106347</v>
      </c>
      <c r="AF129">
        <v>1.06140657591034</v>
      </c>
      <c r="AG129">
        <v>1.04011337181321</v>
      </c>
      <c r="AH129">
        <v>1.018832877566</v>
      </c>
      <c r="AI129">
        <v>0.997602802985365</v>
      </c>
      <c r="AJ129">
        <v>0.976459555829689</v>
      </c>
      <c r="AK129">
        <v>0.955438002417999</v>
      </c>
      <c r="AL129">
        <v>0.934571255942493</v>
      </c>
      <c r="AM129">
        <v>0.913890495503612</v>
      </c>
      <c r="AN129">
        <v>0.89342481787776</v>
      </c>
      <c r="AO129">
        <v>0.873201123006251</v>
      </c>
      <c r="AP129">
        <v>0.853244033217059</v>
      </c>
      <c r="AQ129" s="3"/>
      <c r="BA129">
        <v>129</v>
      </c>
      <c r="BB129" t="s">
        <v>346</v>
      </c>
    </row>
    <row r="130" spans="1:54">
      <c r="A130" s="1">
        <f t="shared" si="4"/>
        <v>73.5</v>
      </c>
      <c r="B130">
        <v>1.53613783018461</v>
      </c>
      <c r="C130">
        <v>1.52886733442333</v>
      </c>
      <c r="D130">
        <v>1.52090952417499</v>
      </c>
      <c r="E130">
        <v>1.51226692969286</v>
      </c>
      <c r="F130">
        <v>1.5029427876981</v>
      </c>
      <c r="G130">
        <v>1.49294115709761</v>
      </c>
      <c r="H130">
        <v>1.48226704046246</v>
      </c>
      <c r="I130">
        <v>1.47092650988715</v>
      </c>
      <c r="J130">
        <v>1.45892683557029</v>
      </c>
      <c r="K130">
        <v>1.44627661516189</v>
      </c>
      <c r="L130">
        <v>1.43298590162089</v>
      </c>
      <c r="M130">
        <v>1.41906632703055</v>
      </c>
      <c r="N130">
        <v>1.40453121954287</v>
      </c>
      <c r="O130">
        <v>1.38939571038436</v>
      </c>
      <c r="P130">
        <v>1.37367682767136</v>
      </c>
      <c r="Q130">
        <v>1.35739357367538</v>
      </c>
      <c r="R130">
        <v>1.34056698216594</v>
      </c>
      <c r="S130">
        <v>1.32322015256001</v>
      </c>
      <c r="T130">
        <v>1.3053782578377</v>
      </c>
      <c r="U130">
        <v>1.28706852355577</v>
      </c>
      <c r="V130">
        <v>1.2683201758064</v>
      </c>
      <c r="W130">
        <v>1.24916435662683</v>
      </c>
      <c r="X130">
        <v>1.22963400615129</v>
      </c>
      <c r="Y130">
        <v>1.20976371168928</v>
      </c>
      <c r="Z130">
        <v>1.18958952488059</v>
      </c>
      <c r="AA130">
        <v>1.16914874907802</v>
      </c>
      <c r="AB130">
        <v>1.14847970009631</v>
      </c>
      <c r="AC130">
        <v>1.12762144439114</v>
      </c>
      <c r="AD130">
        <v>1.10661351954451</v>
      </c>
      <c r="AE130">
        <v>1.08549564258726</v>
      </c>
      <c r="AF130">
        <v>1.06430741214673</v>
      </c>
      <c r="AG130">
        <v>1.04308801064108</v>
      </c>
      <c r="AH130">
        <v>1.02187591273636</v>
      </c>
      <c r="AI130">
        <v>1.00070860603965</v>
      </c>
      <c r="AJ130">
        <v>0.979622329535248</v>
      </c>
      <c r="AK130">
        <v>0.958651834609977</v>
      </c>
      <c r="AL130">
        <v>0.937830172696251</v>
      </c>
      <c r="AM130">
        <v>0.917188512634701</v>
      </c>
      <c r="AN130">
        <v>0.896755989871175</v>
      </c>
      <c r="AO130">
        <v>0.876559588606161</v>
      </c>
      <c r="AP130">
        <v>0.856624057054347</v>
      </c>
      <c r="AQ130" s="3"/>
      <c r="BA130">
        <v>130</v>
      </c>
      <c r="BB130" t="s">
        <v>347</v>
      </c>
    </row>
    <row r="131" spans="1:43">
      <c r="A131" s="1">
        <f t="shared" si="4"/>
        <v>74</v>
      </c>
      <c r="B131">
        <v>1.53637182362259</v>
      </c>
      <c r="C131">
        <v>1.52915030985449</v>
      </c>
      <c r="D131">
        <v>1.52124604383783</v>
      </c>
      <c r="E131">
        <v>1.51266150514364</v>
      </c>
      <c r="F131">
        <v>1.50339986578939</v>
      </c>
      <c r="G131">
        <v>1.49346510374799</v>
      </c>
      <c r="H131">
        <v>1.48286212215529</v>
      </c>
      <c r="I131">
        <v>1.4715968728808</v>
      </c>
      <c r="J131">
        <v>1.45967648285486</v>
      </c>
      <c r="K131">
        <v>1.44710938125884</v>
      </c>
      <c r="L131">
        <v>1.43390542539122</v>
      </c>
      <c r="M131">
        <v>1.42007602273371</v>
      </c>
      <c r="N131">
        <v>1.40563424647095</v>
      </c>
      <c r="O131">
        <v>1.3905949414817</v>
      </c>
      <c r="P131">
        <v>1.37497481763645</v>
      </c>
      <c r="Q131">
        <v>1.35879252712489</v>
      </c>
      <c r="R131">
        <v>1.34206872251718</v>
      </c>
      <c r="S131">
        <v>1.32482609235196</v>
      </c>
      <c r="T131">
        <v>1.30708937125824</v>
      </c>
      <c r="U131">
        <v>1.28888532196791</v>
      </c>
      <c r="V131">
        <v>1.27024268706577</v>
      </c>
      <c r="W131">
        <v>1.25119210895191</v>
      </c>
      <c r="X131">
        <v>1.23176601724556</v>
      </c>
      <c r="Y131">
        <v>1.21199848371887</v>
      </c>
      <c r="Z131">
        <v>1.1919250457846</v>
      </c>
      <c r="AA131">
        <v>1.17158250053352</v>
      </c>
      <c r="AB131">
        <v>1.15100867228284</v>
      </c>
      <c r="AC131">
        <v>1.13024215750654</v>
      </c>
      <c r="AD131">
        <v>1.10932205182427</v>
      </c>
      <c r="AE131">
        <v>1.08828766438322</v>
      </c>
      <c r="AF131">
        <v>1.0671782254371</v>
      </c>
      <c r="AG131">
        <v>1.04603259318207</v>
      </c>
      <c r="AH131">
        <v>1.02488896593455</v>
      </c>
      <c r="AI131">
        <v>1.00378460552927</v>
      </c>
      <c r="AJ131">
        <v>0.982755577390306</v>
      </c>
      <c r="AK131">
        <v>0.961836512108446</v>
      </c>
      <c r="AL131">
        <v>0.941060392582047</v>
      </c>
      <c r="AM131">
        <v>0.920458369888532</v>
      </c>
      <c r="AN131">
        <v>0.900059610098754</v>
      </c>
      <c r="AO131">
        <v>0.87989117327466</v>
      </c>
      <c r="AP131">
        <v>0.859977924947637</v>
      </c>
      <c r="AQ131" s="3"/>
    </row>
    <row r="132" spans="1:43">
      <c r="A132" s="1">
        <f t="shared" si="4"/>
        <v>74.5</v>
      </c>
      <c r="B132">
        <v>1.53660267990481</v>
      </c>
      <c r="C132">
        <v>1.52942949349778</v>
      </c>
      <c r="D132">
        <v>1.52157805746566</v>
      </c>
      <c r="E132">
        <v>1.51305080204015</v>
      </c>
      <c r="F132">
        <v>1.50385083624519</v>
      </c>
      <c r="G132">
        <v>1.49398205925209</v>
      </c>
      <c r="H132">
        <v>1.483449277371</v>
      </c>
      <c r="I132">
        <v>1.47225832538615</v>
      </c>
      <c r="J132">
        <v>1.46041619067902</v>
      </c>
      <c r="K132">
        <v>1.44793113830474</v>
      </c>
      <c r="L132">
        <v>1.43481283490159</v>
      </c>
      <c r="M132">
        <v>1.42107246903159</v>
      </c>
      <c r="N132">
        <v>1.40672286528524</v>
      </c>
      <c r="O132">
        <v>1.39177858925138</v>
      </c>
      <c r="P132">
        <v>1.37625604027095</v>
      </c>
      <c r="Q132">
        <v>1.36017352877944</v>
      </c>
      <c r="R132">
        <v>1.3435513350164</v>
      </c>
      <c r="S132">
        <v>1.32641174595824</v>
      </c>
      <c r="T132">
        <v>1.3087790675289</v>
      </c>
      <c r="U132">
        <v>1.29067960947167</v>
      </c>
      <c r="V132">
        <v>1.27214164073095</v>
      </c>
      <c r="W132">
        <v>1.25319531379177</v>
      </c>
      <c r="X132">
        <v>1.23387255714852</v>
      </c>
      <c r="Y132">
        <v>1.21420693590225</v>
      </c>
      <c r="Z132">
        <v>1.19423348139033</v>
      </c>
      <c r="AA132">
        <v>1.17398849169701</v>
      </c>
      <c r="AB132">
        <v>1.1535093058359</v>
      </c>
      <c r="AC132">
        <v>1.13283405528945</v>
      </c>
      <c r="AD132">
        <v>1.11200139738912</v>
      </c>
      <c r="AE132">
        <v>1.09105023567849</v>
      </c>
      <c r="AF132">
        <v>1.07001943288371</v>
      </c>
      <c r="AG132">
        <v>1.04894752239087</v>
      </c>
      <c r="AH132">
        <v>1.02787242418371</v>
      </c>
      <c r="AI132">
        <v>1.00683117102305</v>
      </c>
      <c r="AJ132">
        <v>0.985859650262305</v>
      </c>
      <c r="AK132">
        <v>0.964992366114911</v>
      </c>
      <c r="AL132">
        <v>0.944262226452424</v>
      </c>
      <c r="AM132">
        <v>0.923700357359211</v>
      </c>
      <c r="AN132">
        <v>0.90333594774609</v>
      </c>
      <c r="AO132">
        <v>0.883196125378815</v>
      </c>
      <c r="AP132">
        <v>0.863305864752218</v>
      </c>
      <c r="AQ132" s="3"/>
    </row>
    <row r="133" spans="1:43">
      <c r="A133" s="1">
        <f t="shared" ref="A133:A196" si="5">A132+0.5</f>
        <v>75</v>
      </c>
      <c r="B133">
        <v>1.53683046167693</v>
      </c>
      <c r="C133">
        <v>1.52970496101659</v>
      </c>
      <c r="D133">
        <v>1.52190565488929</v>
      </c>
      <c r="E133">
        <v>1.51343492548615</v>
      </c>
      <c r="F133">
        <v>1.50429582049174</v>
      </c>
      <c r="G133">
        <v>1.49449216233853</v>
      </c>
      <c r="H133">
        <v>1.48402866303571</v>
      </c>
      <c r="I133">
        <v>1.47291104332062</v>
      </c>
      <c r="J133">
        <v>1.46114615462599</v>
      </c>
      <c r="K133">
        <v>1.44874210208506</v>
      </c>
      <c r="L133">
        <v>1.43570836651896</v>
      </c>
      <c r="M133">
        <v>1.42205592307542</v>
      </c>
      <c r="N133">
        <v>1.40779735392905</v>
      </c>
      <c r="O133">
        <v>1.39294695222445</v>
      </c>
      <c r="P133">
        <v>1.37752081426233</v>
      </c>
      <c r="Q133">
        <v>1.36153691681271</v>
      </c>
      <c r="R133">
        <v>1.34501517640639</v>
      </c>
      <c r="S133">
        <v>1.32797748752344</v>
      </c>
      <c r="T133">
        <v>1.31044773678065</v>
      </c>
      <c r="U133">
        <v>1.29245179052912</v>
      </c>
      <c r="V133">
        <v>1.2740174537145</v>
      </c>
      <c r="W133">
        <v>1.2551743984245</v>
      </c>
      <c r="X133">
        <v>1.23595406124216</v>
      </c>
      <c r="Y133">
        <v>1.21638950932033</v>
      </c>
      <c r="Z133">
        <v>1.19651527596809</v>
      </c>
      <c r="AA133">
        <v>1.17636716745673</v>
      </c>
      <c r="AB133">
        <v>1.15598204367384</v>
      </c>
      <c r="AC133">
        <v>1.13539757613119</v>
      </c>
      <c r="AD133">
        <v>1.11465198762311</v>
      </c>
      <c r="AE133">
        <v>1.09378377849114</v>
      </c>
      <c r="AF133">
        <v>1.07283144494235</v>
      </c>
      <c r="AG133">
        <v>1.05183319516298</v>
      </c>
      <c r="AH133">
        <v>1.03082666904908</v>
      </c>
      <c r="AI133">
        <v>1.00984866723664</v>
      </c>
      <c r="AJ133">
        <v>0.988934894764049</v>
      </c>
      <c r="AK133">
        <v>0.968119724159546</v>
      </c>
      <c r="AL133">
        <v>0.947435982048859</v>
      </c>
      <c r="AM133">
        <v>0.926914762560433</v>
      </c>
      <c r="AN133">
        <v>0.906585269914137</v>
      </c>
      <c r="AO133">
        <v>0.88647469165806</v>
      </c>
      <c r="AP133">
        <v>0.866608103111414</v>
      </c>
      <c r="AQ133" s="3"/>
    </row>
    <row r="134" spans="1:43">
      <c r="A134" s="1">
        <f t="shared" si="5"/>
        <v>75.5</v>
      </c>
      <c r="B134">
        <v>1.53705522992831</v>
      </c>
      <c r="C134">
        <v>1.52997678607562</v>
      </c>
      <c r="D134">
        <v>1.52222892356937</v>
      </c>
      <c r="E134">
        <v>1.51381397781646</v>
      </c>
      <c r="F134">
        <v>1.50473493676236</v>
      </c>
      <c r="G134">
        <v>1.49499554809662</v>
      </c>
      <c r="H134">
        <v>1.48460043197069</v>
      </c>
      <c r="I134">
        <v>1.47355519801587</v>
      </c>
      <c r="J134">
        <v>1.46186656520155</v>
      </c>
      <c r="K134">
        <v>1.44954248281067</v>
      </c>
      <c r="L134">
        <v>1.43659225053875</v>
      </c>
      <c r="M134">
        <v>1.42302663545465</v>
      </c>
      <c r="N134">
        <v>1.4088579833074</v>
      </c>
      <c r="O134">
        <v>1.39410032143835</v>
      </c>
      <c r="P134">
        <v>1.37876945037807</v>
      </c>
      <c r="Q134">
        <v>1.3628830210888</v>
      </c>
      <c r="R134">
        <v>1.34646059477536</v>
      </c>
      <c r="S134">
        <v>1.32952368224468</v>
      </c>
      <c r="T134">
        <v>1.31209575996328</v>
      </c>
      <c r="U134">
        <v>1.29420226025267</v>
      </c>
      <c r="V134">
        <v>1.27587053348109</v>
      </c>
      <c r="W134">
        <v>1.25712978065625</v>
      </c>
      <c r="X134">
        <v>1.23801095548877</v>
      </c>
      <c r="Y134">
        <v>1.21854663576357</v>
      </c>
      <c r="Z134">
        <v>1.19877086470258</v>
      </c>
      <c r="AA134">
        <v>1.17871896389296</v>
      </c>
      <c r="AB134">
        <v>1.15842732025282</v>
      </c>
      <c r="AC134">
        <v>1.13793315036824</v>
      </c>
      <c r="AD134">
        <v>1.11727424631685</v>
      </c>
      <c r="AE134">
        <v>1.0964887077523</v>
      </c>
      <c r="AF134">
        <v>1.07561466552377</v>
      </c>
      <c r="AG134">
        <v>1.05469000241597</v>
      </c>
      <c r="AH134">
        <v>1.03375207669992</v>
      </c>
      <c r="AI134">
        <v>1.01283745407663</v>
      </c>
      <c r="AJ134">
        <v>0.991981653281335</v>
      </c>
      <c r="AK134">
        <v>0.971218910114136</v>
      </c>
      <c r="AL134">
        <v>0.950581964001859</v>
      </c>
      <c r="AM134">
        <v>0.930101870414588</v>
      </c>
      <c r="AN134">
        <v>0.909807841599211</v>
      </c>
      <c r="AO134">
        <v>0.889727117196895</v>
      </c>
      <c r="AP134">
        <v>0.869884865423665</v>
      </c>
      <c r="AQ134" s="3"/>
    </row>
    <row r="135" spans="1:43">
      <c r="A135" s="1">
        <f t="shared" si="5"/>
        <v>76</v>
      </c>
      <c r="B135">
        <v>1.53727704404637</v>
      </c>
      <c r="C135">
        <v>1.53024504040641</v>
      </c>
      <c r="D135">
        <v>1.52254794867399</v>
      </c>
      <c r="E135">
        <v>1.51418805868742</v>
      </c>
      <c r="F135">
        <v>1.50516830020158</v>
      </c>
      <c r="G135">
        <v>1.49549234809468</v>
      </c>
      <c r="H135">
        <v>1.4851647330253</v>
      </c>
      <c r="I135">
        <v>1.47419095636576</v>
      </c>
      <c r="J135">
        <v>1.46257760799714</v>
      </c>
      <c r="K135">
        <v>1.45033248529575</v>
      </c>
      <c r="L135">
        <v>1.4374647113773</v>
      </c>
      <c r="M135">
        <v>1.42398485040334</v>
      </c>
      <c r="N135">
        <v>1.40990501750633</v>
      </c>
      <c r="O135">
        <v>1.39523898066795</v>
      </c>
      <c r="P135">
        <v>1.38000225170681</v>
      </c>
      <c r="Q135">
        <v>1.36421216341169</v>
      </c>
      <c r="R135">
        <v>1.34788792981267</v>
      </c>
      <c r="S135">
        <v>1.33105068663133</v>
      </c>
      <c r="T135">
        <v>1.31372350910648</v>
      </c>
      <c r="U135">
        <v>1.29593140466484</v>
      </c>
      <c r="V135">
        <v>1.27770127830335</v>
      </c>
      <c r="W135">
        <v>1.25906186907031</v>
      </c>
      <c r="X135">
        <v>1.24004365667067</v>
      </c>
      <c r="Y135">
        <v>1.22067873795965</v>
      </c>
      <c r="Z135">
        <v>1.20100067390652</v>
      </c>
      <c r="AA135">
        <v>1.18104430847551</v>
      </c>
      <c r="AB135">
        <v>1.16084556174642</v>
      </c>
      <c r="AC135">
        <v>1.14044120044293</v>
      </c>
      <c r="AD135">
        <v>1.11986858980837</v>
      </c>
      <c r="AE135">
        <v>1.09916543142688</v>
      </c>
      <c r="AF135">
        <v>1.07836949209434</v>
      </c>
      <c r="AG135">
        <v>1.0575183291706</v>
      </c>
      <c r="AH135">
        <v>1.03664901797209</v>
      </c>
      <c r="AI135">
        <v>1.01579788668546</v>
      </c>
      <c r="AJ135">
        <v>0.995000264001923</v>
      </c>
      <c r="AK135">
        <v>0.974290244206628</v>
      </c>
      <c r="AL135">
        <v>0.953700473832837</v>
      </c>
      <c r="AM135">
        <v>0.933261963243784</v>
      </c>
      <c r="AN135">
        <v>0.91300392567495</v>
      </c>
      <c r="AO135">
        <v>0.892953645399524</v>
      </c>
      <c r="AP135">
        <v>0.873136375811502</v>
      </c>
      <c r="AQ135" s="3"/>
    </row>
    <row r="136" spans="1:43">
      <c r="A136" s="1">
        <f t="shared" si="5"/>
        <v>76.5</v>
      </c>
      <c r="B136">
        <v>1.53749596186884</v>
      </c>
      <c r="C136">
        <v>1.53050979387031</v>
      </c>
      <c r="D136">
        <v>1.52286281315327</v>
      </c>
      <c r="E136">
        <v>1.5145572651639</v>
      </c>
      <c r="F136">
        <v>1.50559602296523</v>
      </c>
      <c r="G136">
        <v>1.49598269049384</v>
      </c>
      <c r="H136">
        <v>1.48572171120495</v>
      </c>
      <c r="I136">
        <v>1.47481848096868</v>
      </c>
      <c r="J136">
        <v>1.46327946384663</v>
      </c>
      <c r="K136">
        <v>1.45111230912905</v>
      </c>
      <c r="L136">
        <v>1.43832596775713</v>
      </c>
      <c r="M136">
        <v>1.42493080599881</v>
      </c>
      <c r="N136">
        <v>1.41093871400418</v>
      </c>
      <c r="O136">
        <v>1.3963632066481</v>
      </c>
      <c r="P136">
        <v>1.38121951389088</v>
      </c>
      <c r="Q136">
        <v>1.36552465776599</v>
      </c>
      <c r="R136">
        <v>1.34929751305577</v>
      </c>
      <c r="S136">
        <v>1.33255884875593</v>
      </c>
      <c r="T136">
        <v>1.31533134757231</v>
      </c>
      <c r="U136">
        <v>1.29763960094984</v>
      </c>
      <c r="V136">
        <v>1.27951007750985</v>
      </c>
      <c r="W136">
        <v>1.26097106326883</v>
      </c>
      <c r="X136">
        <v>1.24205257262309</v>
      </c>
      <c r="Y136">
        <v>1.22278622979528</v>
      </c>
      <c r="Z136">
        <v>1.2032051212289</v>
      </c>
      <c r="AA136">
        <v>1.18334362025657</v>
      </c>
      <c r="AB136">
        <v>1.16323718622157</v>
      </c>
      <c r="AC136">
        <v>1.14292214106115</v>
      </c>
      <c r="AD136">
        <v>1.12243542712188</v>
      </c>
      <c r="AE136">
        <v>1.10181435063291</v>
      </c>
      <c r="AF136">
        <v>1.08109631577606</v>
      </c>
      <c r="AG136">
        <v>1.06031855463187</v>
      </c>
      <c r="AH136">
        <v>1.03951785843087</v>
      </c>
      <c r="AI136">
        <v>1.01873031548738</v>
      </c>
      <c r="AJ136">
        <v>0.997991060945721</v>
      </c>
      <c r="AK136">
        <v>0.977334043037186</v>
      </c>
      <c r="AL136">
        <v>0.956791809957698</v>
      </c>
      <c r="AM136">
        <v>0.936395320762692</v>
      </c>
      <c r="AN136">
        <v>0.916173782876152</v>
      </c>
      <c r="AO136">
        <v>0.896154517966379</v>
      </c>
      <c r="AP136">
        <v>0.876362857092341</v>
      </c>
      <c r="AQ136" s="3"/>
    </row>
    <row r="137" spans="1:43">
      <c r="A137" s="1">
        <f t="shared" si="5"/>
        <v>77</v>
      </c>
      <c r="B137">
        <v>1.53771203973393</v>
      </c>
      <c r="C137">
        <v>1.53077111451898</v>
      </c>
      <c r="D137">
        <v>1.52317359781104</v>
      </c>
      <c r="E137">
        <v>1.51492169180288</v>
      </c>
      <c r="F137">
        <v>1.50601821431661</v>
      </c>
      <c r="G137">
        <v>1.49646670015739</v>
      </c>
      <c r="H137">
        <v>1.48627150779401</v>
      </c>
      <c r="I137">
        <v>1.47543793026443</v>
      </c>
      <c r="J137">
        <v>1.46397230897721</v>
      </c>
      <c r="K137">
        <v>1.45188214883864</v>
      </c>
      <c r="L137">
        <v>1.4391762328853</v>
      </c>
      <c r="M137">
        <v>1.42586473435301</v>
      </c>
      <c r="N137">
        <v>1.41195932387501</v>
      </c>
      <c r="O137">
        <v>1.39747326928826</v>
      </c>
      <c r="P137">
        <v>1.38242152535056</v>
      </c>
      <c r="Q137">
        <v>1.36682081054923</v>
      </c>
      <c r="R137">
        <v>1.35068966812869</v>
      </c>
      <c r="S137">
        <v>1.33404850849668</v>
      </c>
      <c r="T137">
        <v>1.31691963029949</v>
      </c>
      <c r="U137">
        <v>1.29932721769707</v>
      </c>
      <c r="V137">
        <v>1.28129731172536</v>
      </c>
      <c r="W137">
        <v>1.2628577541074</v>
      </c>
      <c r="X137">
        <v>1.24403810246052</v>
      </c>
      <c r="Y137">
        <v>1.22486951653186</v>
      </c>
      <c r="Z137">
        <v>1.205384615858</v>
      </c>
      <c r="AA137">
        <v>1.18561731005912</v>
      </c>
      <c r="AB137">
        <v>1.16560260381067</v>
      </c>
      <c r="AC137">
        <v>1.14537637934707</v>
      </c>
      <c r="AD137">
        <v>1.12497516010418</v>
      </c>
      <c r="AE137">
        <v>1.10443585975937</v>
      </c>
      <c r="AF137">
        <v>1.08379552144565</v>
      </c>
      <c r="AG137">
        <v>1.06309105226989</v>
      </c>
      <c r="AH137">
        <v>1.04235895843424</v>
      </c>
      <c r="AI137">
        <v>1.02163508623505</v>
      </c>
      <c r="AJ137">
        <v>1.00095437399612</v>
      </c>
      <c r="AK137">
        <v>0.980350619595655</v>
      </c>
      <c r="AL137">
        <v>0.959856267692035</v>
      </c>
      <c r="AM137">
        <v>0.939502220073121</v>
      </c>
      <c r="AN137">
        <v>0.919317671784409</v>
      </c>
      <c r="AO137">
        <v>0.899329974872432</v>
      </c>
      <c r="AP137">
        <v>0.87956453075105</v>
      </c>
      <c r="AQ137" s="3"/>
    </row>
    <row r="138" spans="1:43">
      <c r="A138" s="1">
        <f t="shared" si="5"/>
        <v>77.5</v>
      </c>
      <c r="B138">
        <v>1.53792533252862</v>
      </c>
      <c r="C138">
        <v>1.53102906865261</v>
      </c>
      <c r="D138">
        <v>1.52348038137373</v>
      </c>
      <c r="E138">
        <v>1.51528143073387</v>
      </c>
      <c r="F138">
        <v>1.50643498071903</v>
      </c>
      <c r="G138">
        <v>1.49694449875596</v>
      </c>
      <c r="H138">
        <v>1.4868142604742</v>
      </c>
      <c r="I138">
        <v>1.47604945866588</v>
      </c>
      <c r="J138">
        <v>1.46465631515461</v>
      </c>
      <c r="K138">
        <v>1.45264219405051</v>
      </c>
      <c r="L138">
        <v>1.4400157146251</v>
      </c>
      <c r="M138">
        <v>1.42678686179678</v>
      </c>
      <c r="N138">
        <v>1.4129670919848</v>
      </c>
      <c r="O138">
        <v>1.39856943187931</v>
      </c>
      <c r="P138">
        <v>1.38360856750038</v>
      </c>
      <c r="Q138">
        <v>1.3681009207961</v>
      </c>
      <c r="R138">
        <v>1.35206471097232</v>
      </c>
      <c r="S138">
        <v>1.33551999777183</v>
      </c>
      <c r="T138">
        <v>1.31848870403965</v>
      </c>
      <c r="U138">
        <v>1.30099461513698</v>
      </c>
      <c r="V138">
        <v>1.28306335310385</v>
      </c>
      <c r="W138">
        <v>1.26472232392269</v>
      </c>
      <c r="X138">
        <v>1.24600063679671</v>
      </c>
      <c r="Y138">
        <v>1.22692899501558</v>
      </c>
      <c r="Z138">
        <v>1.2075395587193</v>
      </c>
      <c r="AA138">
        <v>1.18786578066095</v>
      </c>
      <c r="AB138">
        <v>1.16794221688023</v>
      </c>
      <c r="AC138">
        <v>1.14780431499503</v>
      </c>
      <c r="AD138">
        <v>1.12748818355911</v>
      </c>
      <c r="AE138">
        <v>1.10703034658252</v>
      </c>
      <c r="AF138">
        <v>1.08646748783293</v>
      </c>
      <c r="AG138">
        <v>1.06583618990039</v>
      </c>
      <c r="AH138">
        <v>1.04517267319636</v>
      </c>
      <c r="AI138">
        <v>1.0245125400569</v>
      </c>
      <c r="AJ138">
        <v>1.00389052893236</v>
      </c>
      <c r="AK138">
        <v>0.983340283280354</v>
      </c>
      <c r="AL138">
        <v>0.96289413925785</v>
      </c>
      <c r="AM138">
        <v>0.942582935660261</v>
      </c>
      <c r="AN138">
        <v>0.922435848815463</v>
      </c>
      <c r="AO138">
        <v>0.902480254347263</v>
      </c>
      <c r="AP138">
        <v>0.882741616914205</v>
      </c>
      <c r="AQ138" s="3"/>
    </row>
    <row r="139" spans="1:43">
      <c r="A139" s="1">
        <f t="shared" si="5"/>
        <v>78</v>
      </c>
      <c r="B139">
        <v>1.53813589373506</v>
      </c>
      <c r="C139">
        <v>1.53128372087587</v>
      </c>
      <c r="D139">
        <v>1.52378324055669</v>
      </c>
      <c r="E139">
        <v>1.51563657173618</v>
      </c>
      <c r="F139">
        <v>1.50684642592482</v>
      </c>
      <c r="G139">
        <v>1.49741620486878</v>
      </c>
      <c r="H139">
        <v>1.48735010343837</v>
      </c>
      <c r="I139">
        <v>1.47665321668577</v>
      </c>
      <c r="J139">
        <v>1.46533164982282</v>
      </c>
      <c r="K139">
        <v>1.45339262964131</v>
      </c>
      <c r="L139">
        <v>1.44084461566148</v>
      </c>
      <c r="M139">
        <v>1.42769740905747</v>
      </c>
      <c r="N139">
        <v>1.41396225718038</v>
      </c>
      <c r="O139">
        <v>1.39965195129304</v>
      </c>
      <c r="P139">
        <v>1.38478091495785</v>
      </c>
      <c r="Q139">
        <v>1.36936528039484</v>
      </c>
      <c r="R139">
        <v>1.35342295006689</v>
      </c>
      <c r="S139">
        <v>1.33697364076628</v>
      </c>
      <c r="T139">
        <v>1.32003890758593</v>
      </c>
      <c r="U139">
        <v>1.30264214536945</v>
      </c>
      <c r="V139">
        <v>1.28480856555433</v>
      </c>
      <c r="W139">
        <v>1.26656514675348</v>
      </c>
      <c r="X139">
        <v>1.24794055795843</v>
      </c>
      <c r="Y139">
        <v>1.22896505388171</v>
      </c>
      <c r="Z139">
        <v>1.20967034266849</v>
      </c>
      <c r="AA139">
        <v>1.19008942697433</v>
      </c>
      <c r="AB139">
        <v>1.17025642019571</v>
      </c>
      <c r="AC139">
        <v>1.1502063404185</v>
      </c>
      <c r="AD139">
        <v>1.12997488537959</v>
      </c>
      <c r="AE139">
        <v>1.1095981923808</v>
      </c>
      <c r="AF139">
        <v>1.0891125876182</v>
      </c>
      <c r="AG139">
        <v>1.06855432976504</v>
      </c>
      <c r="AH139">
        <v>1.04795935285122</v>
      </c>
      <c r="AI139">
        <v>1.02736301350503</v>
      </c>
      <c r="AJ139">
        <v>1.00679984746286</v>
      </c>
      <c r="AK139">
        <v>0.986303339918103</v>
      </c>
      <c r="AL139">
        <v>0.965905713791711</v>
      </c>
      <c r="AM139">
        <v>0.945637739390487</v>
      </c>
      <c r="AN139">
        <v>0.925528568208216</v>
      </c>
      <c r="AO139">
        <v>0.905605592856781</v>
      </c>
      <c r="AP139">
        <v>0.88589433432601</v>
      </c>
      <c r="AQ139" s="3"/>
    </row>
    <row r="140" spans="1:43">
      <c r="A140" s="1">
        <f t="shared" si="5"/>
        <v>78.5</v>
      </c>
      <c r="B140">
        <v>1.53834377547522</v>
      </c>
      <c r="C140">
        <v>1.53153513415172</v>
      </c>
      <c r="D140">
        <v>1.52408225012792</v>
      </c>
      <c r="E140">
        <v>1.51598720231337</v>
      </c>
      <c r="F140">
        <v>1.50725265106092</v>
      </c>
      <c r="G140">
        <v>1.49788193408103</v>
      </c>
      <c r="H140">
        <v>1.48787916750008</v>
      </c>
      <c r="I140">
        <v>1.47724935105866</v>
      </c>
      <c r="J140">
        <v>1.46599847623869</v>
      </c>
      <c r="K140">
        <v>1.45413363588538</v>
      </c>
      <c r="L140">
        <v>1.44166313366033</v>
      </c>
      <c r="M140">
        <v>1.42859659143002</v>
      </c>
      <c r="N140">
        <v>1.41494505247166</v>
      </c>
      <c r="O140">
        <v>1.40072107817454</v>
      </c>
      <c r="P140">
        <v>1.3859388357448</v>
      </c>
      <c r="Q140">
        <v>1.37061417429628</v>
      </c>
      <c r="R140">
        <v>1.35476468664691</v>
      </c>
      <c r="S140">
        <v>1.33840975415065</v>
      </c>
      <c r="T140">
        <v>1.32157057199421</v>
      </c>
      <c r="U140">
        <v>1.30427015258498</v>
      </c>
      <c r="V140">
        <v>1.28653330495985</v>
      </c>
      <c r="W140">
        <v>1.26838658855505</v>
      </c>
      <c r="X140">
        <v>1.24985824019324</v>
      </c>
      <c r="Y140">
        <v>1.2309780737536</v>
      </c>
      <c r="Z140">
        <v>1.21177735267951</v>
      </c>
      <c r="AA140">
        <v>1.19228863622158</v>
      </c>
      <c r="AB140">
        <v>1.17254560108302</v>
      </c>
      <c r="AC140">
        <v>1.15258284089618</v>
      </c>
      <c r="AD140">
        <v>1.13243564667766</v>
      </c>
      <c r="AE140">
        <v>1.11213977204807</v>
      </c>
      <c r="AF140">
        <v>1.09173118752876</v>
      </c>
      <c r="AG140">
        <v>1.07124582861129</v>
      </c>
      <c r="AH140">
        <v>1.05071934251641</v>
      </c>
      <c r="AI140">
        <v>1.03018683860372</v>
      </c>
      <c r="AJ140">
        <v>1.00968264725944</v>
      </c>
      <c r="AK140">
        <v>0.989240091785399</v>
      </c>
      <c r="AL140">
        <v>0.968891277354273</v>
      </c>
      <c r="AM140">
        <v>0.948666900510677</v>
      </c>
      <c r="AN140">
        <v>0.928596082015318</v>
      </c>
      <c r="AO140">
        <v>0.908706225086561</v>
      </c>
      <c r="AP140">
        <v>0.889022900325794</v>
      </c>
      <c r="AQ140" s="3"/>
    </row>
    <row r="141" spans="1:43">
      <c r="A141" s="1">
        <f t="shared" si="5"/>
        <v>79</v>
      </c>
      <c r="B141">
        <v>1.53854902855387</v>
      </c>
      <c r="C141">
        <v>1.53178336985322</v>
      </c>
      <c r="D141">
        <v>1.52437748296946</v>
      </c>
      <c r="E141">
        <v>1.51633340776481</v>
      </c>
      <c r="F141">
        <v>1.50765375471133</v>
      </c>
      <c r="G141">
        <v>1.49834179907761</v>
      </c>
      <c r="H141">
        <v>1.48840158019905</v>
      </c>
      <c r="I141">
        <v>1.47783800485842</v>
      </c>
      <c r="J141">
        <v>1.46665695360147</v>
      </c>
      <c r="K141">
        <v>1.45486538859645</v>
      </c>
      <c r="L141">
        <v>1.44247146142199</v>
      </c>
      <c r="M141">
        <v>1.42948461894187</v>
      </c>
      <c r="N141">
        <v>1.41591570520732</v>
      </c>
      <c r="O141">
        <v>1.40177705712774</v>
      </c>
      <c r="P141">
        <v>1.38708259148175</v>
      </c>
      <c r="Q141">
        <v>1.37184788071558</v>
      </c>
      <c r="R141">
        <v>1.35609021490889</v>
      </c>
      <c r="S141">
        <v>1.33982864729314</v>
      </c>
      <c r="T141">
        <v>1.32308402079716</v>
      </c>
      <c r="U141">
        <v>1.30587897327898</v>
      </c>
      <c r="V141">
        <v>1.28823791938976</v>
      </c>
      <c r="W141">
        <v>1.27018700740747</v>
      </c>
      <c r="X141">
        <v>1.25175404987145</v>
      </c>
      <c r="Y141">
        <v>1.23296842743626</v>
      </c>
      <c r="Z141">
        <v>1.21386096602796</v>
      </c>
      <c r="AA141">
        <v>1.19446378810641</v>
      </c>
      <c r="AB141">
        <v>1.17481013958639</v>
      </c>
      <c r="AC141">
        <v>1.15493419471535</v>
      </c>
      <c r="AD141">
        <v>1.13487084191222</v>
      </c>
      <c r="AE141">
        <v>1.1146554542054</v>
      </c>
      <c r="AF141">
        <v>1.09432364843441</v>
      </c>
      <c r="AG141">
        <v>1.07391103777181</v>
      </c>
      <c r="AH141">
        <v>1.05345298235697</v>
      </c>
      <c r="AI141">
        <v>1.03298434289834</v>
      </c>
      <c r="AJ141">
        <v>1.01253924199232</v>
      </c>
      <c r="AK141">
        <v>0.992150837630677</v>
      </c>
      <c r="AL141">
        <v>0.971851112941085</v>
      </c>
      <c r="AM141">
        <v>0.951670685648949</v>
      </c>
      <c r="AN141">
        <v>0.931638640095266</v>
      </c>
      <c r="AO141">
        <v>0.911782383926725</v>
      </c>
      <c r="AP141">
        <v>0.892127530827048</v>
      </c>
      <c r="AQ141" s="3"/>
    </row>
    <row r="142" spans="1:43">
      <c r="A142" s="1">
        <f t="shared" si="5"/>
        <v>79.5</v>
      </c>
      <c r="B142">
        <v>1.53875170249984</v>
      </c>
      <c r="C142">
        <v>1.53202848781337</v>
      </c>
      <c r="D142">
        <v>1.5246690101364</v>
      </c>
      <c r="E142">
        <v>1.51667527125455</v>
      </c>
      <c r="F142">
        <v>1.50804983299641</v>
      </c>
      <c r="G142">
        <v>1.49879590973332</v>
      </c>
      <c r="H142">
        <v>1.48891746590273</v>
      </c>
      <c r="I142">
        <v>1.47841931761133</v>
      </c>
      <c r="J142">
        <v>1.46730723717766</v>
      </c>
      <c r="K142">
        <v>1.45558805926408</v>
      </c>
      <c r="L142">
        <v>1.44326978702923</v>
      </c>
      <c r="M142">
        <v>1.43036169651197</v>
      </c>
      <c r="N142">
        <v>1.41687443724425</v>
      </c>
      <c r="O142">
        <v>1.40282012689446</v>
      </c>
      <c r="P142">
        <v>1.38821243757552</v>
      </c>
      <c r="Q142">
        <v>1.3730666713272</v>
      </c>
      <c r="R142">
        <v>1.35739982221206</v>
      </c>
      <c r="S142">
        <v>1.34123062246442</v>
      </c>
      <c r="T142">
        <v>1.32457957021153</v>
      </c>
      <c r="U142">
        <v>1.30746893645933</v>
      </c>
      <c r="V142">
        <v>1.28992274930568</v>
      </c>
      <c r="W142">
        <v>1.27196675371769</v>
      </c>
      <c r="X142">
        <v>1.25362834568237</v>
      </c>
      <c r="Y142">
        <v>1.23493648010483</v>
      </c>
      <c r="Z142">
        <v>1.21592155246984</v>
      </c>
      <c r="AA142">
        <v>1.1966152549813</v>
      </c>
      <c r="AB142">
        <v>1.17705040862294</v>
      </c>
      <c r="AC142">
        <v>1.15726077331229</v>
      </c>
      <c r="AD142">
        <v>1.13728083901467</v>
      </c>
      <c r="AE142">
        <v>1.11714560131123</v>
      </c>
      <c r="AF142">
        <v>1.09689032544198</v>
      </c>
      <c r="AG142">
        <v>1.07655030324346</v>
      </c>
      <c r="AH142">
        <v>1.05616060764914</v>
      </c>
      <c r="AI142">
        <v>1.03575584950469</v>
      </c>
      <c r="AJ142">
        <v>1.01536994136585</v>
      </c>
      <c r="AK142">
        <v>0.995035872697572</v>
      </c>
      <c r="AL142">
        <v>0.974785500494598</v>
      </c>
      <c r="AM142">
        <v>0.954649358816748</v>
      </c>
      <c r="AN142">
        <v>0.934656490105945</v>
      </c>
      <c r="AO142">
        <v>0.914834300458307</v>
      </c>
      <c r="AP142">
        <v>0.895208440297938</v>
      </c>
      <c r="AQ142" s="3"/>
    </row>
    <row r="143" spans="1:43">
      <c r="A143" s="1">
        <f t="shared" si="5"/>
        <v>80</v>
      </c>
      <c r="B143">
        <v>1.5389518456059</v>
      </c>
      <c r="C143">
        <v>1.53227054637309</v>
      </c>
      <c r="D143">
        <v>1.52495690091378</v>
      </c>
      <c r="E143">
        <v>1.51701287387771</v>
      </c>
      <c r="F143">
        <v>1.50844097964929</v>
      </c>
      <c r="G143">
        <v>1.49924437319984</v>
      </c>
      <c r="H143">
        <v>1.48942694590408</v>
      </c>
      <c r="I143">
        <v>1.47899342540505</v>
      </c>
      <c r="J143">
        <v>1.46794947842126</v>
      </c>
      <c r="K143">
        <v>1.4563018151852</v>
      </c>
      <c r="L143">
        <v>1.44405829398979</v>
      </c>
      <c r="M143">
        <v>1.43122802410407</v>
      </c>
      <c r="N143">
        <v>1.41782146511099</v>
      </c>
      <c r="O143">
        <v>1.40385052052724</v>
      </c>
      <c r="P143">
        <v>1.3893286234004</v>
      </c>
      <c r="Q143">
        <v>1.37427081145313</v>
      </c>
      <c r="R143">
        <v>1.35869378927243</v>
      </c>
      <c r="S143">
        <v>1.34261597503582</v>
      </c>
      <c r="T143">
        <v>1.32605752933865</v>
      </c>
      <c r="U143">
        <v>1.30904036384753</v>
      </c>
      <c r="V143">
        <v>1.29158812776115</v>
      </c>
      <c r="W143">
        <v>1.27372617041578</v>
      </c>
      <c r="X143">
        <v>1.25548147882516</v>
      </c>
      <c r="Y143">
        <v>1.23688258948796</v>
      </c>
      <c r="Z143">
        <v>1.21795947441575</v>
      </c>
      <c r="AA143">
        <v>1.19874340201091</v>
      </c>
      <c r="AB143">
        <v>1.17926677413381</v>
      </c>
      <c r="AC143">
        <v>1.15956294141013</v>
      </c>
      <c r="AD143">
        <v>1.13966599951237</v>
      </c>
      <c r="AE143">
        <v>1.11961056976997</v>
      </c>
      <c r="AF143">
        <v>1.0994315679888</v>
      </c>
      <c r="AG143">
        <v>1.07916396576573</v>
      </c>
      <c r="AH143">
        <v>1.05884254884413</v>
      </c>
      <c r="AI143">
        <v>1.03850167715859</v>
      </c>
      <c r="AJ143">
        <v>1.01817505115495</v>
      </c>
      <c r="AK143">
        <v>0.997895488749105</v>
      </c>
      <c r="AL143">
        <v>0.977694716917321</v>
      </c>
      <c r="AM143">
        <v>0.957603181412236</v>
      </c>
      <c r="AN143">
        <v>0.937649877499552</v>
      </c>
      <c r="AO143">
        <v>0.917862203941034</v>
      </c>
      <c r="AP143">
        <v>0.898265841743255</v>
      </c>
      <c r="AQ143" s="3"/>
    </row>
    <row r="144" spans="1:43">
      <c r="A144" s="1">
        <f t="shared" si="5"/>
        <v>80.5</v>
      </c>
      <c r="B144">
        <v>1.539149504967</v>
      </c>
      <c r="C144">
        <v>1.53250960242744</v>
      </c>
      <c r="D144">
        <v>1.52524122287127</v>
      </c>
      <c r="E144">
        <v>1.51734629472432</v>
      </c>
      <c r="F144">
        <v>1.50882728608938</v>
      </c>
      <c r="G144">
        <v>1.49968729398938</v>
      </c>
      <c r="H144">
        <v>1.48993013851577</v>
      </c>
      <c r="I144">
        <v>1.4795604609936</v>
      </c>
      <c r="J144">
        <v>1.46858382508964</v>
      </c>
      <c r="K144">
        <v>1.45700681959092</v>
      </c>
      <c r="L144">
        <v>1.44483716137394</v>
      </c>
      <c r="M144">
        <v>1.43208379687463</v>
      </c>
      <c r="N144">
        <v>1.4187570001654</v>
      </c>
      <c r="O144">
        <v>1.40486846555609</v>
      </c>
      <c r="P144">
        <v>1.39043139247303</v>
      </c>
      <c r="Q144">
        <v>1.3754605602449</v>
      </c>
      <c r="R144">
        <v>1.35997239035034</v>
      </c>
      <c r="S144">
        <v>1.34398499367107</v>
      </c>
      <c r="T144">
        <v>1.32751820035874</v>
      </c>
      <c r="U144">
        <v>1.31059357007356</v>
      </c>
      <c r="V144">
        <v>1.29323438059529</v>
      </c>
      <c r="W144">
        <v>1.2754655931455</v>
      </c>
      <c r="X144">
        <v>1.25731379319427</v>
      </c>
      <c r="Y144">
        <v>1.23880710604645</v>
      </c>
      <c r="Z144">
        <v>1.21997508710081</v>
      </c>
      <c r="AA144">
        <v>1.20084858733165</v>
      </c>
      <c r="AB144">
        <v>1.18145959523203</v>
      </c>
      <c r="AC144">
        <v>1.16184105715375</v>
      </c>
      <c r="AD144">
        <v>1.14202667864991</v>
      </c>
      <c r="AE144">
        <v>1.12205071003899</v>
      </c>
      <c r="AF144">
        <v>1.10194771993516</v>
      </c>
      <c r="AG144">
        <v>1.08175236089859</v>
      </c>
      <c r="AH144">
        <v>1.06149913163173</v>
      </c>
      <c r="AI144">
        <v>1.04122214026586</v>
      </c>
      <c r="AJ144">
        <v>1.02095487324207</v>
      </c>
      <c r="AK144">
        <v>1.00072997409274</v>
      </c>
      <c r="AL144">
        <v>0.980579036086042</v>
      </c>
      <c r="AM144">
        <v>0.960532412224883</v>
      </c>
      <c r="AN144">
        <v>0.940619045518839</v>
      </c>
      <c r="AO144">
        <v>0.920866321802493</v>
      </c>
      <c r="AP144">
        <v>0.901299946687724</v>
      </c>
      <c r="AQ144" s="3"/>
    </row>
    <row r="145" spans="1:43">
      <c r="A145" s="1">
        <f t="shared" si="5"/>
        <v>81</v>
      </c>
      <c r="B145">
        <v>1.5393447265172</v>
      </c>
      <c r="C145">
        <v>1.53274571147006</v>
      </c>
      <c r="D145">
        <v>1.52552204191593</v>
      </c>
      <c r="E145">
        <v>1.51767561094087</v>
      </c>
      <c r="F145">
        <v>1.50920884149327</v>
      </c>
      <c r="G145">
        <v>1.50012477405532</v>
      </c>
      <c r="H145">
        <v>1.49042715916099</v>
      </c>
      <c r="I145">
        <v>1.48012055389854</v>
      </c>
      <c r="J145">
        <v>1.46921042135524</v>
      </c>
      <c r="K145">
        <v>1.45770323176871</v>
      </c>
      <c r="L145">
        <v>1.44560656394703</v>
      </c>
      <c r="M145">
        <v>1.4329292053154</v>
      </c>
      <c r="N145">
        <v>1.41968124874684</v>
      </c>
      <c r="O145">
        <v>1.40587418414948</v>
      </c>
      <c r="P145">
        <v>1.39152098262137</v>
      </c>
      <c r="Q145">
        <v>1.37663617085929</v>
      </c>
      <c r="R145">
        <v>1.36123589343188</v>
      </c>
      <c r="S145">
        <v>1.34533796051184</v>
      </c>
      <c r="T145">
        <v>1.32896187871888</v>
      </c>
      <c r="U145">
        <v>1.31212886286481</v>
      </c>
      <c r="V145">
        <v>1.29486182662073</v>
      </c>
      <c r="W145">
        <v>1.27718535044927</v>
      </c>
      <c r="X145">
        <v>1.25912562555978</v>
      </c>
      <c r="Y145">
        <v>1.24071037314692</v>
      </c>
      <c r="Z145">
        <v>1.22196873875015</v>
      </c>
      <c r="AA145">
        <v>1.20293116220743</v>
      </c>
      <c r="AB145">
        <v>1.18362922434715</v>
      </c>
      <c r="AC145">
        <v>1.16409547224225</v>
      </c>
      <c r="AD145">
        <v>1.14436322550832</v>
      </c>
      <c r="AE145">
        <v>1.12446636673409</v>
      </c>
      <c r="AF145">
        <v>1.10443911965562</v>
      </c>
      <c r="AG145">
        <v>1.08431581909976</v>
      </c>
      <c r="AH145">
        <v>1.0641306770037</v>
      </c>
      <c r="AI145">
        <v>1.04391754895238</v>
      </c>
      <c r="AJ145">
        <v>1.02370970565473</v>
      </c>
      <c r="AK145">
        <v>1.00353961360622</v>
      </c>
      <c r="AL145">
        <v>0.983438728867054</v>
      </c>
      <c r="AM145">
        <v>0.963437307441232</v>
      </c>
      <c r="AN145">
        <v>0.943564235194613</v>
      </c>
      <c r="AO145">
        <v>0.923846879628589</v>
      </c>
      <c r="AP145">
        <v>0.904310965160662</v>
      </c>
      <c r="AQ145" s="3"/>
    </row>
    <row r="146" spans="1:43">
      <c r="A146" s="1">
        <f t="shared" si="5"/>
        <v>81.5</v>
      </c>
      <c r="B146">
        <v>1.53953755506522</v>
      </c>
      <c r="C146">
        <v>1.53297892763609</v>
      </c>
      <c r="D146">
        <v>1.52579942234301</v>
      </c>
      <c r="E146">
        <v>1.51800089778958</v>
      </c>
      <c r="F146">
        <v>1.509585732863</v>
      </c>
      <c r="G146">
        <v>1.50055691286995</v>
      </c>
      <c r="H146">
        <v>1.49091812046092</v>
      </c>
      <c r="I146">
        <v>1.48067383050647</v>
      </c>
      <c r="J146">
        <v>1.46982940791329</v>
      </c>
      <c r="K146">
        <v>1.45839120718026</v>
      </c>
      <c r="L146">
        <v>1.44636667229741</v>
      </c>
      <c r="M146">
        <v>1.43376443539105</v>
      </c>
      <c r="N146">
        <v>1.42059441232304</v>
      </c>
      <c r="O146">
        <v>1.40686789326983</v>
      </c>
      <c r="P146">
        <v>1.39259762614791</v>
      </c>
      <c r="Q146">
        <v>1.37779789062831</v>
      </c>
      <c r="R146">
        <v>1.3624845604043</v>
      </c>
      <c r="S146">
        <v>1.34667515135722</v>
      </c>
      <c r="T146">
        <v>1.3303888533152</v>
      </c>
      <c r="U146">
        <v>1.31364654322905</v>
      </c>
      <c r="V146">
        <v>1.29647077780582</v>
      </c>
      <c r="W146">
        <v>1.27888576394789</v>
      </c>
      <c r="X146">
        <v>1.26091730574266</v>
      </c>
      <c r="Y146">
        <v>1.24259272723109</v>
      </c>
      <c r="Z146">
        <v>1.22394077074038</v>
      </c>
      <c r="AA146">
        <v>1.20499147118176</v>
      </c>
      <c r="AB146">
        <v>1.18577600736671</v>
      </c>
      <c r="AC146">
        <v>1.16632653205852</v>
      </c>
      <c r="AD146">
        <v>1.14667598312211</v>
      </c>
      <c r="AE146">
        <v>1.12685787873322</v>
      </c>
      <c r="AF146">
        <v>1.10690610012928</v>
      </c>
      <c r="AG146">
        <v>1.08685466580132</v>
      </c>
      <c r="AH146">
        <v>1.06673750131705</v>
      </c>
      <c r="AI146">
        <v>1.04658820911439</v>
      </c>
      <c r="AJ146">
        <v>1.02643984260352</v>
      </c>
      <c r="AK146">
        <v>1.00632468876417</v>
      </c>
      <c r="AL146">
        <v>0.986274063132321</v>
      </c>
      <c r="AM146">
        <v>0.966318120651749</v>
      </c>
      <c r="AN146">
        <v>0.946485685344432</v>
      </c>
      <c r="AO146">
        <v>0.926804101155278</v>
      </c>
      <c r="AP146">
        <v>0.90729910568189</v>
      </c>
      <c r="AQ146" s="3"/>
    </row>
    <row r="147" spans="1:43">
      <c r="A147" s="1">
        <f t="shared" si="5"/>
        <v>82</v>
      </c>
      <c r="B147">
        <v>1.53972803432864</v>
      </c>
      <c r="C147">
        <v>1.53320930374345</v>
      </c>
      <c r="D147">
        <v>1.52607342688486</v>
      </c>
      <c r="E147">
        <v>1.51832222870554</v>
      </c>
      <c r="F147">
        <v>1.50995804509185</v>
      </c>
      <c r="G147">
        <v>1.50098380749931</v>
      </c>
      <c r="H147">
        <v>1.49140313231906</v>
      </c>
      <c r="I147">
        <v>1.48122041416306</v>
      </c>
      <c r="J147">
        <v>1.4704409220856</v>
      </c>
      <c r="K147">
        <v>1.45907089757522</v>
      </c>
      <c r="L147">
        <v>1.44711765295978</v>
      </c>
      <c r="M147">
        <v>1.43458966867201</v>
      </c>
      <c r="N147">
        <v>1.42149668763192</v>
      </c>
      <c r="O147">
        <v>1.40784980482363</v>
      </c>
      <c r="P147">
        <v>1.39366154998737</v>
      </c>
      <c r="Q147">
        <v>1.37894596122346</v>
      </c>
      <c r="R147">
        <v>1.36371864722566</v>
      </c>
      <c r="S147">
        <v>1.34799683583754</v>
      </c>
      <c r="T147">
        <v>1.33179940666925</v>
      </c>
      <c r="U147">
        <v>1.31514690563195</v>
      </c>
      <c r="V147">
        <v>1.29806153945149</v>
      </c>
      <c r="W147">
        <v>1.28056714851504</v>
      </c>
      <c r="X147">
        <v>1.26268915678525</v>
      </c>
      <c r="Y147">
        <v>1.2444544979804</v>
      </c>
      <c r="Z147">
        <v>1.22589151775683</v>
      </c>
      <c r="AA147">
        <v>1.20702985222626</v>
      </c>
      <c r="AB147">
        <v>1.18790028377454</v>
      </c>
      <c r="AC147">
        <v>1.16853457579642</v>
      </c>
      <c r="AD147">
        <v>1.14896528859422</v>
      </c>
      <c r="AE147">
        <v>1.12922557927877</v>
      </c>
      <c r="AF147">
        <v>1.10934898902889</v>
      </c>
      <c r="AG147">
        <v>1.0893692214857</v>
      </c>
      <c r="AH147">
        <v>1.06931991635692</v>
      </c>
      <c r="AI147">
        <v>1.04923442246883</v>
      </c>
      <c r="AJ147">
        <v>1.0291455745205</v>
      </c>
      <c r="AK147">
        <v>1.00908547766536</v>
      </c>
      <c r="AL147">
        <v>0.989085303776539</v>
      </c>
      <c r="AM147">
        <v>0.969175102858718</v>
      </c>
      <c r="AN147">
        <v>0.949383632572454</v>
      </c>
      <c r="AO147">
        <v>0.929738208261502</v>
      </c>
      <c r="AP147">
        <v>0.910264575248897</v>
      </c>
      <c r="AQ147" s="3"/>
    </row>
    <row r="148" spans="1:43">
      <c r="A148" s="1">
        <f t="shared" si="5"/>
        <v>82.5</v>
      </c>
      <c r="B148">
        <v>1.53991620696693</v>
      </c>
      <c r="C148">
        <v>1.53343689133263</v>
      </c>
      <c r="D148">
        <v>1.5263441167581</v>
      </c>
      <c r="E148">
        <v>1.51863967535175</v>
      </c>
      <c r="F148">
        <v>1.51032586102776</v>
      </c>
      <c r="G148">
        <v>1.50140555267545</v>
      </c>
      <c r="H148">
        <v>1.49188230200252</v>
      </c>
      <c r="I148">
        <v>1.48176042526373</v>
      </c>
      <c r="J148">
        <v>1.47104509792077</v>
      </c>
      <c r="K148">
        <v>1.45974245110079</v>
      </c>
      <c r="L148">
        <v>1.4478596685343</v>
      </c>
      <c r="M148">
        <v>1.43540508246266</v>
      </c>
      <c r="N148">
        <v>1.42238826681842</v>
      </c>
      <c r="O148">
        <v>1.40882012580647</v>
      </c>
      <c r="P148">
        <v>1.39471297585903</v>
      </c>
      <c r="Q148">
        <v>1.38008061881451</v>
      </c>
      <c r="R148">
        <v>1.36493840408901</v>
      </c>
      <c r="S148">
        <v>1.34930327758256</v>
      </c>
      <c r="T148">
        <v>1.33319381509885</v>
      </c>
      <c r="U148">
        <v>1.31663023816909</v>
      </c>
      <c r="V148">
        <v>1.29963441036281</v>
      </c>
      <c r="W148">
        <v>1.28222981244671</v>
      </c>
      <c r="X148">
        <v>1.26444149511694</v>
      </c>
      <c r="Y148">
        <v>1.24629600847635</v>
      </c>
      <c r="Z148">
        <v>1.227821307947</v>
      </c>
      <c r="AA148">
        <v>1.20904663688561</v>
      </c>
      <c r="AB148">
        <v>1.19000238678607</v>
      </c>
      <c r="AC148">
        <v>1.17071993658521</v>
      </c>
      <c r="AD148">
        <v>1.15123147320891</v>
      </c>
      <c r="AE148">
        <v>1.13156979607817</v>
      </c>
      <c r="AF148">
        <v>1.11176810880882</v>
      </c>
      <c r="AG148">
        <v>1.09185980176086</v>
      </c>
      <c r="AH148">
        <v>1.07187822939931</v>
      </c>
      <c r="AI148">
        <v>1.05185648660382</v>
      </c>
      <c r="AJ148">
        <v>1.03182718809799</v>
      </c>
      <c r="AK148">
        <v>1.01182225506054</v>
      </c>
      <c r="AL148">
        <v>0.991872712735003</v>
      </c>
      <c r="AM148">
        <v>0.972008502485113</v>
      </c>
      <c r="AN148">
        <v>0.952258311270367</v>
      </c>
      <c r="AO148">
        <v>0.932649420963274</v>
      </c>
      <c r="AP148">
        <v>0.913207579325168</v>
      </c>
      <c r="AQ148" s="3"/>
    </row>
    <row r="149" spans="1:43">
      <c r="A149" s="1">
        <f t="shared" si="5"/>
        <v>83</v>
      </c>
      <c r="B149">
        <v>1.54010211461326</v>
      </c>
      <c r="C149">
        <v>1.53366174070507</v>
      </c>
      <c r="D149">
        <v>1.52661155170914</v>
      </c>
      <c r="E149">
        <v>1.51895330767222</v>
      </c>
      <c r="F149">
        <v>1.5106892615345</v>
      </c>
      <c r="G149">
        <v>1.501822240866</v>
      </c>
      <c r="H149">
        <v>1.49235573422048</v>
      </c>
      <c r="I149">
        <v>1.48229398134106</v>
      </c>
      <c r="J149">
        <v>1.47164206629076</v>
      </c>
      <c r="K149">
        <v>1.46040601240758</v>
      </c>
      <c r="L149">
        <v>1.44859287780146</v>
      </c>
      <c r="M149">
        <v>1.43621084992504</v>
      </c>
      <c r="N149">
        <v>1.42326933756678</v>
      </c>
      <c r="O149">
        <v>1.40977905844316</v>
      </c>
      <c r="P149">
        <v>1.39575212041411</v>
      </c>
      <c r="Q149">
        <v>1.38120209422307</v>
      </c>
      <c r="R149">
        <v>1.36614407558116</v>
      </c>
      <c r="S149">
        <v>1.35059473438431</v>
      </c>
      <c r="T149">
        <v>1.33457234888369</v>
      </c>
      <c r="U149">
        <v>1.31809682273274</v>
      </c>
      <c r="V149">
        <v>1.30118968301552</v>
      </c>
      <c r="W149">
        <v>1.28387405762586</v>
      </c>
      <c r="X149">
        <v>1.26617463071531</v>
      </c>
      <c r="Y149">
        <v>1.24811757535659</v>
      </c>
      <c r="Z149">
        <v>1.22973046307</v>
      </c>
      <c r="AA149">
        <v>1.21104215041904</v>
      </c>
      <c r="AB149">
        <v>1.19208264348061</v>
      </c>
      <c r="AC149">
        <v>1.17288294161158</v>
      </c>
      <c r="AD149">
        <v>1.15347486254255</v>
      </c>
      <c r="AE149">
        <v>1.13389085140287</v>
      </c>
      <c r="AF149">
        <v>1.11416377679195</v>
      </c>
      <c r="AG149">
        <v>1.0943267174349</v>
      </c>
      <c r="AH149">
        <v>1.07441274327334</v>
      </c>
      <c r="AI149">
        <v>1.05445469502905</v>
      </c>
      <c r="AJ149">
        <v>1.03448496632767</v>
      </c>
      <c r="AK149">
        <v>1.01453529238095</v>
      </c>
      <c r="AL149">
        <v>0.994636549002259</v>
      </c>
      <c r="AM149">
        <v>0.974818565384396</v>
      </c>
      <c r="AN149">
        <v>0.955109953619364</v>
      </c>
      <c r="AO149">
        <v>0.935537957408876</v>
      </c>
      <c r="AP149">
        <v>0.916128321829665</v>
      </c>
      <c r="AQ149" s="3"/>
    </row>
    <row r="150" spans="1:43">
      <c r="A150" s="1">
        <f t="shared" si="5"/>
        <v>83.5</v>
      </c>
      <c r="B150">
        <v>1.54028579790516</v>
      </c>
      <c r="C150">
        <v>1.53388390096017</v>
      </c>
      <c r="D150">
        <v>1.52687579005796</v>
      </c>
      <c r="E150">
        <v>1.51926319394316</v>
      </c>
      <c r="F150">
        <v>1.51104832555064</v>
      </c>
      <c r="G150">
        <v>1.50223396234137</v>
      </c>
      <c r="H150">
        <v>1.49282353119981</v>
      </c>
      <c r="I150">
        <v>1.48282119714918</v>
      </c>
      <c r="J150">
        <v>1.47223195498417</v>
      </c>
      <c r="K150">
        <v>1.46106172275173</v>
      </c>
      <c r="L150">
        <v>1.44931743583303</v>
      </c>
      <c r="M150">
        <v>1.43700714019843</v>
      </c>
      <c r="N150">
        <v>1.42414008322823</v>
      </c>
      <c r="O150">
        <v>1.41072680032312</v>
      </c>
      <c r="P150">
        <v>1.39677919537806</v>
      </c>
      <c r="Q150">
        <v>1.38231061307117</v>
      </c>
      <c r="R150">
        <v>1.36733590083637</v>
      </c>
      <c r="S150">
        <v>1.35187145835475</v>
      </c>
      <c r="T150">
        <v>1.33593527242568</v>
      </c>
      <c r="U150">
        <v>1.31954693517359</v>
      </c>
      <c r="V150">
        <v>1.30272764371758</v>
      </c>
      <c r="W150">
        <v>1.28550017968236</v>
      </c>
      <c r="X150">
        <v>1.26788886726287</v>
      </c>
      <c r="Y150">
        <v>1.24991950896683</v>
      </c>
      <c r="Z150">
        <v>1.23161929864227</v>
      </c>
      <c r="AA150">
        <v>1.21301671193854</v>
      </c>
      <c r="AB150">
        <v>1.19414137493069</v>
      </c>
      <c r="AC150">
        <v>1.17502391223912</v>
      </c>
      <c r="AD150">
        <v>1.1556957765724</v>
      </c>
      <c r="AE150">
        <v>1.13618906218581</v>
      </c>
      <c r="AF150">
        <v>1.11653630525532</v>
      </c>
      <c r="AG150">
        <v>1.09677027458978</v>
      </c>
      <c r="AH150">
        <v>1.07692375642323</v>
      </c>
      <c r="AI150">
        <v>1.05702933722618</v>
      </c>
      <c r="AJ150">
        <v>1.03711918853989</v>
      </c>
      <c r="AK150">
        <v>1.01722485776724</v>
      </c>
      <c r="AL150">
        <v>0.997377068651468</v>
      </c>
      <c r="AM150">
        <v>0.977605534851192</v>
      </c>
      <c r="AN150">
        <v>0.957938789593096</v>
      </c>
      <c r="AO150">
        <v>0.938404033875116</v>
      </c>
      <c r="AP150">
        <v>0.919027005127398</v>
      </c>
      <c r="AQ150" s="3"/>
    </row>
    <row r="151" spans="1:43">
      <c r="A151" s="1">
        <f t="shared" si="5"/>
        <v>84</v>
      </c>
      <c r="B151">
        <v>1.54046729651412</v>
      </c>
      <c r="C151">
        <v>1.53410342003093</v>
      </c>
      <c r="D151">
        <v>1.52713688874046</v>
      </c>
      <c r="E151">
        <v>1.51956940082235</v>
      </c>
      <c r="F151">
        <v>1.51140313014644</v>
      </c>
      <c r="G151">
        <v>1.50264080523948</v>
      </c>
      <c r="H151">
        <v>1.49328579275803</v>
      </c>
      <c r="I151">
        <v>1.4833421847452</v>
      </c>
      <c r="J151">
        <v>1.47281488879618</v>
      </c>
      <c r="K151">
        <v>1.46170972009349</v>
      </c>
      <c r="L151">
        <v>1.45003349409916</v>
      </c>
      <c r="M151">
        <v>1.43779411851471</v>
      </c>
      <c r="N151">
        <v>1.42500068294436</v>
      </c>
      <c r="O151">
        <v>1.41166354453121</v>
      </c>
      <c r="P151">
        <v>1.39779440768828</v>
      </c>
      <c r="Q151">
        <v>1.38340639592488</v>
      </c>
      <c r="R151">
        <v>1.36851411368509</v>
      </c>
      <c r="S151">
        <v>1.35313369607852</v>
      </c>
      <c r="T151">
        <v>1.33728284440441</v>
      </c>
      <c r="U151">
        <v>1.32098084545763</v>
      </c>
      <c r="V151">
        <v>1.30424857276607</v>
      </c>
      <c r="W151">
        <v>1.28710846814829</v>
      </c>
      <c r="X151">
        <v>1.2695845022994</v>
      </c>
      <c r="Y151">
        <v>1.2517021135088</v>
      </c>
      <c r="Z151">
        <v>1.23348812407973</v>
      </c>
      <c r="AA151">
        <v>1.21497063454368</v>
      </c>
      <c r="AB151">
        <v>1.1961788963285</v>
      </c>
      <c r="AC151">
        <v>1.17714316412536</v>
      </c>
      <c r="AD151">
        <v>1.15789452978339</v>
      </c>
      <c r="AE151">
        <v>1.13846474011726</v>
      </c>
      <c r="AF151">
        <v>1.11888600151464</v>
      </c>
      <c r="AG151">
        <v>1.09919077465436</v>
      </c>
      <c r="AH151">
        <v>1.07941156296983</v>
      </c>
      <c r="AI151">
        <v>1.05958069869922</v>
      </c>
      <c r="AJ151">
        <v>1.03973013044329</v>
      </c>
      <c r="AK151">
        <v>1.01989121609887</v>
      </c>
      <c r="AL151">
        <v>1.00009452485444</v>
      </c>
      <c r="AM151">
        <v>0.980369651632789</v>
      </c>
      <c r="AN151">
        <v>0.960745046961574</v>
      </c>
      <c r="AO151">
        <v>0.941247864764597</v>
      </c>
      <c r="AP151">
        <v>0.921903830021051</v>
      </c>
      <c r="AQ151" s="3"/>
    </row>
    <row r="152" spans="1:43">
      <c r="A152" s="1">
        <f t="shared" si="5"/>
        <v>84.5</v>
      </c>
      <c r="B152">
        <v>1.54064664917406</v>
      </c>
      <c r="C152">
        <v>1.53432034471839</v>
      </c>
      <c r="D152">
        <v>1.5273949033492</v>
      </c>
      <c r="E152">
        <v>1.51987199339676</v>
      </c>
      <c r="F152">
        <v>1.51175375057872</v>
      </c>
      <c r="G152">
        <v>1.50304285562829</v>
      </c>
      <c r="H152">
        <v>1.49374261637377</v>
      </c>
      <c r="I152">
        <v>1.48385705356772</v>
      </c>
      <c r="J152">
        <v>1.47339098961543</v>
      </c>
      <c r="K152">
        <v>1.46235013919242</v>
      </c>
      <c r="L152">
        <v>1.45074120057183</v>
      </c>
      <c r="M152">
        <v>1.43857194630989</v>
      </c>
      <c r="N152">
        <v>1.42585131176635</v>
      </c>
      <c r="O152">
        <v>1.41258947977421</v>
      </c>
      <c r="P152">
        <v>1.39879795962721</v>
      </c>
      <c r="Q152">
        <v>1.38448965843335</v>
      </c>
      <c r="R152">
        <v>1.36967894279796</v>
      </c>
      <c r="S152">
        <v>1.35438168876081</v>
      </c>
      <c r="T152">
        <v>1.33861531792784</v>
      </c>
      <c r="U152">
        <v>1.32239881781827</v>
      </c>
      <c r="V152">
        <v>1.30575274459938</v>
      </c>
      <c r="W152">
        <v>1.28869920660896</v>
      </c>
      <c r="X152">
        <v>1.27126182737016</v>
      </c>
      <c r="Y152">
        <v>1.25346568718431</v>
      </c>
      <c r="Z152">
        <v>1.23533724283618</v>
      </c>
      <c r="AA152">
        <v>1.21690422545326</v>
      </c>
      <c r="AB152">
        <v>1.19819551710963</v>
      </c>
      <c r="AC152">
        <v>1.17924100733638</v>
      </c>
      <c r="AD152">
        <v>1.16007143127284</v>
      </c>
      <c r="AE152">
        <v>1.14071819173903</v>
      </c>
      <c r="AF152">
        <v>1.12121316800765</v>
      </c>
      <c r="AG152">
        <v>1.10158851447662</v>
      </c>
      <c r="AH152">
        <v>1.08187645277176</v>
      </c>
      <c r="AI152">
        <v>1.06210906102475</v>
      </c>
      <c r="AJ152">
        <v>1.04231806416453</v>
      </c>
      <c r="AK152">
        <v>1.02253462902404</v>
      </c>
      <c r="AL152">
        <v>1.00278916790227</v>
      </c>
      <c r="AM152">
        <v>0.983111153941405</v>
      </c>
      <c r="AN152">
        <v>0.963528951295954</v>
      </c>
      <c r="AO152">
        <v>0.944069662603954</v>
      </c>
      <c r="AP152">
        <v>0.924758995743614</v>
      </c>
      <c r="AQ152" s="3"/>
    </row>
    <row r="153" spans="1:43">
      <c r="A153" s="1">
        <f t="shared" si="5"/>
        <v>85</v>
      </c>
      <c r="B153">
        <v>1.54082389370892</v>
      </c>
      <c r="C153">
        <v>1.53453472072484</v>
      </c>
      <c r="D153">
        <v>1.52764988817281</v>
      </c>
      <c r="E153">
        <v>1.52017103522852</v>
      </c>
      <c r="F153">
        <v>1.51210026034384</v>
      </c>
      <c r="G153">
        <v>1.50344019756611</v>
      </c>
      <c r="H153">
        <v>1.49419409725468</v>
      </c>
      <c r="I153">
        <v>1.48436591051273</v>
      </c>
      <c r="J153">
        <v>1.47396037650785</v>
      </c>
      <c r="K153">
        <v>1.46298311169925</v>
      </c>
      <c r="L153">
        <v>1.45144069982472</v>
      </c>
      <c r="M153">
        <v>1.4393407813318</v>
      </c>
      <c r="N153">
        <v>1.42669214077021</v>
      </c>
      <c r="O153">
        <v>1.41350479050314</v>
      </c>
      <c r="P153">
        <v>1.39979004895113</v>
      </c>
      <c r="Q153">
        <v>1.38556061146331</v>
      </c>
      <c r="R153">
        <v>1.37083061182514</v>
      </c>
      <c r="S153">
        <v>1.35561567237061</v>
      </c>
      <c r="T153">
        <v>1.33993294067828</v>
      </c>
      <c r="U153">
        <v>1.32380111090388</v>
      </c>
      <c r="V153">
        <v>1.30724042794505</v>
      </c>
      <c r="W153">
        <v>1.2902726728495</v>
      </c>
      <c r="X153">
        <v>1.27292112817009</v>
      </c>
      <c r="Y153">
        <v>1.25521052233547</v>
      </c>
      <c r="Z153">
        <v>1.23716695253836</v>
      </c>
      <c r="AA153">
        <v>1.21881778613391</v>
      </c>
      <c r="AB153">
        <v>1.20019154107384</v>
      </c>
      <c r="AC153">
        <v>1.18131774645908</v>
      </c>
      <c r="AD153">
        <v>1.1622267848533</v>
      </c>
      <c r="AE153">
        <v>1.14294971853727</v>
      </c>
      <c r="AF153">
        <v>1.1235181023763</v>
      </c>
      <c r="AG153">
        <v>1.10396378639507</v>
      </c>
      <c r="AH153">
        <v>1.08431871148601</v>
      </c>
      <c r="AI153">
        <v>1.06461470190194</v>
      </c>
      <c r="AJ153">
        <v>1.04488325828816</v>
      </c>
      <c r="AK153">
        <v>1.02515535498981</v>
      </c>
      <c r="AL153">
        <v>1.00546124522658</v>
      </c>
      <c r="AM153">
        <v>0.9858302774672</v>
      </c>
      <c r="AN153">
        <v>0.966290725974175</v>
      </c>
      <c r="AO153">
        <v>0.946869638043018</v>
      </c>
      <c r="AP153">
        <v>0.927592699951996</v>
      </c>
      <c r="AQ153" s="3"/>
    </row>
    <row r="154" spans="1:43">
      <c r="A154" s="1">
        <f t="shared" si="5"/>
        <v>85.5</v>
      </c>
      <c r="B154">
        <v>1.54099906705921</v>
      </c>
      <c r="C154">
        <v>1.53474659268586</v>
      </c>
      <c r="D154">
        <v>1.52790189623393</v>
      </c>
      <c r="E154">
        <v>1.52046658839929</v>
      </c>
      <c r="F154">
        <v>1.51244273122882</v>
      </c>
      <c r="G154">
        <v>1.50383291315983</v>
      </c>
      <c r="H154">
        <v>1.49464032840313</v>
      </c>
      <c r="I154">
        <v>1.48486886000683</v>
      </c>
      <c r="J154">
        <v>1.47452316579767</v>
      </c>
      <c r="K154">
        <v>1.46360876624473</v>
      </c>
      <c r="L154">
        <v>1.45213213312979</v>
      </c>
      <c r="M154">
        <v>1.44010077774422</v>
      </c>
      <c r="N154">
        <v>1.42752333716814</v>
      </c>
      <c r="O154">
        <v>1.41440965703146</v>
      </c>
      <c r="P154">
        <v>1.40077086901469</v>
      </c>
      <c r="Q154">
        <v>1.38661946122925</v>
      </c>
      <c r="R154">
        <v>1.37196933953134</v>
      </c>
      <c r="S154">
        <v>1.35683587777958</v>
      </c>
      <c r="T154">
        <v>1.34123595505398</v>
      </c>
      <c r="U154">
        <v>1.32518797792101</v>
      </c>
      <c r="V154">
        <v>1.30871188596325</v>
      </c>
      <c r="W154">
        <v>1.29182913899745</v>
      </c>
      <c r="X154">
        <v>1.27456268468394</v>
      </c>
      <c r="Y154">
        <v>1.25693690558125</v>
      </c>
      <c r="Z154">
        <v>1.23897754511758</v>
      </c>
      <c r="AA154">
        <v>1.22071161242545</v>
      </c>
      <c r="AB154">
        <v>1.20216726650335</v>
      </c>
      <c r="AC154">
        <v>1.18337368071112</v>
      </c>
      <c r="AD154">
        <v>1.16436088915337</v>
      </c>
      <c r="AE154">
        <v>1.1451596170335</v>
      </c>
      <c r="AF154">
        <v>1.12580109754773</v>
      </c>
      <c r="AG154">
        <v>1.10631687830935</v>
      </c>
      <c r="AH154">
        <v>1.08673862062821</v>
      </c>
      <c r="AI154">
        <v>1.06709789520257</v>
      </c>
      <c r="AJ154">
        <v>1.04742597789664</v>
      </c>
      <c r="AK154">
        <v>1.02775364927273</v>
      </c>
      <c r="AL154">
        <v>1.00811100142128</v>
      </c>
      <c r="AM154">
        <v>0.988527255391955</v>
      </c>
      <c r="AN154">
        <v>0.969030592187392</v>
      </c>
      <c r="AO154">
        <v>0.949647999854864</v>
      </c>
      <c r="AP154">
        <v>0.930405138721559</v>
      </c>
      <c r="AQ154" s="3"/>
    </row>
    <row r="155" spans="1:43">
      <c r="A155" s="1">
        <f t="shared" si="5"/>
        <v>86</v>
      </c>
      <c r="B155">
        <v>1.54117220530759</v>
      </c>
      <c r="C155">
        <v>1.53495600420121</v>
      </c>
      <c r="D155">
        <v>1.5281509793259</v>
      </c>
      <c r="E155">
        <v>1.52075871355304</v>
      </c>
      <c r="F155">
        <v>1.51278123336066</v>
      </c>
      <c r="G155">
        <v>1.50422108262115</v>
      </c>
      <c r="H155">
        <v>1.49508140067951</v>
      </c>
      <c r="I155">
        <v>1.48536600407791</v>
      </c>
      <c r="J155">
        <v>1.47507947114562</v>
      </c>
      <c r="K155">
        <v>1.46422722852533</v>
      </c>
      <c r="L155">
        <v>1.45281563855048</v>
      </c>
      <c r="M155">
        <v>1.44085208622746</v>
      </c>
      <c r="N155">
        <v>1.42834506441622</v>
      </c>
      <c r="O155">
        <v>1.41530425564947</v>
      </c>
      <c r="P155">
        <v>1.4017406088914</v>
      </c>
      <c r="Q155">
        <v>1.38766640941938</v>
      </c>
      <c r="R155">
        <v>1.3730953399265</v>
      </c>
      <c r="S155">
        <v>1.35804253089649</v>
      </c>
      <c r="T155">
        <v>1.34252459830642</v>
      </c>
      <c r="U155">
        <v>1.32655966677324</v>
      </c>
      <c r="V155">
        <v>1.31016737638612</v>
      </c>
      <c r="W155">
        <v>1.29336887166124</v>
      </c>
      <c r="X155">
        <v>1.27618677132275</v>
      </c>
      <c r="Y155">
        <v>1.2586451179505</v>
      </c>
      <c r="Z155">
        <v>1.24076930693804</v>
      </c>
      <c r="AA155">
        <v>1.22258599466346</v>
      </c>
      <c r="AB155">
        <v>1.20412298627833</v>
      </c>
      <c r="AC155">
        <v>1.18540910404854</v>
      </c>
      <c r="AD155">
        <v>1.16647403771666</v>
      </c>
      <c r="AE155">
        <v>1.14734817887429</v>
      </c>
      <c r="AF155">
        <v>1.12806244181407</v>
      </c>
      <c r="AG155">
        <v>1.10864807375002</v>
      </c>
      <c r="AH155">
        <v>1.08913645763221</v>
      </c>
      <c r="AI155">
        <v>1.06955891102064</v>
      </c>
      <c r="AJ155">
        <v>1.04994648461035</v>
      </c>
      <c r="AK155">
        <v>1.03032976400964</v>
      </c>
      <c r="AL155">
        <v>1.01073867826477</v>
      </c>
      <c r="AM155">
        <v>0.99120231840341</v>
      </c>
      <c r="AN155">
        <v>0.971748768947176</v>
      </c>
      <c r="AO155">
        <v>0.952404954936702</v>
      </c>
      <c r="AP155">
        <v>0.933196506541563</v>
      </c>
      <c r="AQ155" s="3"/>
    </row>
    <row r="156" spans="1:43">
      <c r="A156" s="1">
        <f t="shared" si="5"/>
        <v>86.5</v>
      </c>
      <c r="B156">
        <v>1.54134334370369</v>
      </c>
      <c r="C156">
        <v>1.53516299786475</v>
      </c>
      <c r="D156">
        <v>1.52839718804817</v>
      </c>
      <c r="E156">
        <v>1.52104746993744</v>
      </c>
      <c r="F156">
        <v>1.51311583525405</v>
      </c>
      <c r="G156">
        <v>1.50460478432085</v>
      </c>
      <c r="H156">
        <v>1.49551740286345</v>
      </c>
      <c r="I156">
        <v>1.48585744242352</v>
      </c>
      <c r="J156">
        <v>1.47562940362451</v>
      </c>
      <c r="K156">
        <v>1.46483862138617</v>
      </c>
      <c r="L156">
        <v>1.45349135103191</v>
      </c>
      <c r="M156">
        <v>1.44159485407566</v>
      </c>
      <c r="N156">
        <v>1.42915748231855</v>
      </c>
      <c r="O156">
        <v>1.41618875873492</v>
      </c>
      <c r="P156">
        <v>1.40269945349031</v>
      </c>
      <c r="Q156">
        <v>1.38870165331771</v>
      </c>
      <c r="R156">
        <v>1.37420882239238</v>
      </c>
      <c r="S156">
        <v>1.35923585279758</v>
      </c>
      <c r="T156">
        <v>1.34379910267336</v>
      </c>
      <c r="U156">
        <v>1.327916420196</v>
      </c>
      <c r="V156">
        <v>1.31160715165309</v>
      </c>
      <c r="W156">
        <v>1.29489213206481</v>
      </c>
      <c r="X156">
        <v>1.27779365705646</v>
      </c>
      <c r="Y156">
        <v>1.26033543501144</v>
      </c>
      <c r="Z156">
        <v>1.24254251892194</v>
      </c>
      <c r="AA156">
        <v>1.22444121779879</v>
      </c>
      <c r="AB156">
        <v>1.20605898798984</v>
      </c>
      <c r="AC156">
        <v>1.18742430527117</v>
      </c>
      <c r="AD156">
        <v>1.16856651909882</v>
      </c>
      <c r="AE156">
        <v>1.14951569091928</v>
      </c>
      <c r="AF156">
        <v>1.13030241891108</v>
      </c>
      <c r="AG156">
        <v>1.11095765194747</v>
      </c>
      <c r="AH156">
        <v>1.09151249590929</v>
      </c>
      <c r="AI156">
        <v>1.07199801572192</v>
      </c>
      <c r="AJ156">
        <v>1.05244503662771</v>
      </c>
      <c r="AK156">
        <v>1.0328839482288</v>
      </c>
      <c r="AL156">
        <v>1.01334451474265</v>
      </c>
      <c r="AM156">
        <v>0.993855694710191</v>
      </c>
      <c r="AN156">
        <v>0.974445473093433</v>
      </c>
      <c r="AO156">
        <v>0.955140708311577</v>
      </c>
      <c r="AP156">
        <v>0.935966996311451</v>
      </c>
      <c r="AQ156" s="3"/>
    </row>
    <row r="157" spans="1:43">
      <c r="A157" s="1">
        <f t="shared" si="5"/>
        <v>87</v>
      </c>
      <c r="B157">
        <v>1.54151251668796</v>
      </c>
      <c r="C157">
        <v>1.53536761529323</v>
      </c>
      <c r="D157">
        <v>1.52864057184045</v>
      </c>
      <c r="E157">
        <v>1.52133291544373</v>
      </c>
      <c r="F157">
        <v>1.51344660385734</v>
      </c>
      <c r="G157">
        <v>1.50498409484121</v>
      </c>
      <c r="H157">
        <v>1.49594842171291</v>
      </c>
      <c r="I157">
        <v>1.48634327247682</v>
      </c>
      <c r="J157">
        <v>1.47617307179221</v>
      </c>
      <c r="K157">
        <v>1.46544306490106</v>
      </c>
      <c r="L157">
        <v>1.45415940248796</v>
      </c>
      <c r="M157">
        <v>1.44232922529078</v>
      </c>
      <c r="N157">
        <v>1.42996074712794</v>
      </c>
      <c r="O157">
        <v>1.41706333486001</v>
      </c>
      <c r="P157">
        <v>1.4036475836688</v>
      </c>
      <c r="Q157">
        <v>1.38972538592204</v>
      </c>
      <c r="R157">
        <v>1.37530999180522</v>
      </c>
      <c r="S157">
        <v>1.3604160598529</v>
      </c>
      <c r="T157">
        <v>1.345059695508</v>
      </c>
      <c r="U157">
        <v>1.32925847588735</v>
      </c>
      <c r="V157">
        <v>1.31303145904228</v>
      </c>
      <c r="W157">
        <v>1.29639917617848</v>
      </c>
      <c r="X157">
        <v>1.27938360554305</v>
      </c>
      <c r="Y157">
        <v>1.26200812699778</v>
      </c>
      <c r="Z157">
        <v>1.24429745667145</v>
      </c>
      <c r="AA157">
        <v>1.22627756151427</v>
      </c>
      <c r="AB157">
        <v>1.20797555405031</v>
      </c>
      <c r="AC157">
        <v>1.18941956812581</v>
      </c>
      <c r="AD157">
        <v>1.17063861696274</v>
      </c>
      <c r="AE157">
        <v>1.15166243532775</v>
      </c>
      <c r="AF157">
        <v>1.13252130809559</v>
      </c>
      <c r="AG157">
        <v>1.1132458879</v>
      </c>
      <c r="AH157">
        <v>1.09386700490676</v>
      </c>
      <c r="AI157">
        <v>1.07441547199311</v>
      </c>
      <c r="AJ157">
        <v>1.05492188876521</v>
      </c>
      <c r="AK157">
        <v>1.03541644788121</v>
      </c>
      <c r="AL157">
        <v>1.01592874707083</v>
      </c>
      <c r="AM157">
        <v>0.996487610057306</v>
      </c>
      <c r="AN157">
        <v>0.977120919302999</v>
      </c>
      <c r="AO157">
        <v>0.957855463130826</v>
      </c>
      <c r="AP157">
        <v>0.938716799337971</v>
      </c>
      <c r="AQ157" s="3"/>
    </row>
    <row r="158" spans="1:43">
      <c r="A158" s="1">
        <f t="shared" si="5"/>
        <v>87.5</v>
      </c>
      <c r="B158">
        <v>1.54167975791476</v>
      </c>
      <c r="C158">
        <v>1.53556989715416</v>
      </c>
      <c r="D158">
        <v>1.52888117901575</v>
      </c>
      <c r="E158">
        <v>1.52161510664536</v>
      </c>
      <c r="F158">
        <v>1.513773604597</v>
      </c>
      <c r="G158">
        <v>1.5053590890267</v>
      </c>
      <c r="H158">
        <v>1.49637454202132</v>
      </c>
      <c r="I158">
        <v>1.48682358947036</v>
      </c>
      <c r="J158">
        <v>1.47671058176225</v>
      </c>
      <c r="K158">
        <v>1.46604067644995</v>
      </c>
      <c r="L158">
        <v>1.45481992188553</v>
      </c>
      <c r="M158">
        <v>1.44305534067358</v>
      </c>
      <c r="N158">
        <v>1.43075501164337</v>
      </c>
      <c r="O158">
        <v>1.41792814889499</v>
      </c>
      <c r="P158">
        <v>1.4045851763419</v>
      </c>
      <c r="Q158">
        <v>1.39073779605843</v>
      </c>
      <c r="R158">
        <v>1.37639904865453</v>
      </c>
      <c r="S158">
        <v>1.36158336384878</v>
      </c>
      <c r="T158">
        <v>1.34630659940412</v>
      </c>
      <c r="U158">
        <v>1.33058606663498</v>
      </c>
      <c r="V158">
        <v>1.31444054079816</v>
      </c>
      <c r="W158">
        <v>1.29789025484611</v>
      </c>
      <c r="X158">
        <v>1.28095687525413</v>
      </c>
      <c r="Y158">
        <v>1.26366345893154</v>
      </c>
      <c r="Z158">
        <v>1.24603439058766</v>
      </c>
      <c r="AA158">
        <v>1.22809530033869</v>
      </c>
      <c r="AB158">
        <v>1.20987296180137</v>
      </c>
      <c r="AC158">
        <v>1.19139517140729</v>
      </c>
      <c r="AD158">
        <v>1.17269061017186</v>
      </c>
      <c r="AE158">
        <v>1.15378868964364</v>
      </c>
      <c r="AF158">
        <v>1.13471938422179</v>
      </c>
      <c r="AG158">
        <v>1.11551305244106</v>
      </c>
      <c r="AH158">
        <v>1.09620025016599</v>
      </c>
      <c r="AI158">
        <v>1.07681153889083</v>
      </c>
      <c r="AJ158">
        <v>1.05737729249748</v>
      </c>
      <c r="AK158">
        <v>1.0379275058721</v>
      </c>
      <c r="AL158">
        <v>1.01849160871897</v>
      </c>
      <c r="AM158">
        <v>0.999098287742163</v>
      </c>
      <c r="AN158">
        <v>0.979775320098887</v>
      </c>
      <c r="AO158">
        <v>0.96054942067728</v>
      </c>
      <c r="AP158">
        <v>0.94144610533308</v>
      </c>
      <c r="AQ158" s="3"/>
    </row>
    <row r="159" spans="1:43">
      <c r="A159" s="1">
        <f t="shared" si="5"/>
        <v>88</v>
      </c>
      <c r="B159">
        <v>1.54184510027469</v>
      </c>
      <c r="C159">
        <v>1.53576988319269</v>
      </c>
      <c r="D159">
        <v>1.52911905679228</v>
      </c>
      <c r="E159">
        <v>1.52189409883515</v>
      </c>
      <c r="F159">
        <v>1.51409690142063</v>
      </c>
      <c r="G159">
        <v>1.50572984003292</v>
      </c>
      <c r="H159">
        <v>1.49679584667278</v>
      </c>
      <c r="I159">
        <v>1.48729848649775</v>
      </c>
      <c r="J159">
        <v>1.47724203727202</v>
      </c>
      <c r="K159">
        <v>1.46663157079373</v>
      </c>
      <c r="L159">
        <v>1.45547303532602</v>
      </c>
      <c r="M159">
        <v>1.44377333791159</v>
      </c>
      <c r="N159">
        <v>1.43154042530419</v>
      </c>
      <c r="O159">
        <v>1.41878336210837</v>
      </c>
      <c r="P159">
        <v>1.40551240458802</v>
      </c>
      <c r="Q159">
        <v>1.39173906849196</v>
      </c>
      <c r="R159">
        <v>1.37747618915827</v>
      </c>
      <c r="S159">
        <v>1.36273797210655</v>
      </c>
      <c r="T159">
        <v>1.34754003231758</v>
      </c>
      <c r="U159">
        <v>1.3318994204394</v>
      </c>
      <c r="V159">
        <v>1.31583463425551</v>
      </c>
      <c r="W159">
        <v>1.29936561390882</v>
      </c>
      <c r="X159">
        <v>1.28251371959712</v>
      </c>
      <c r="Y159">
        <v>1.26530169074275</v>
      </c>
      <c r="Z159">
        <v>1.24775358598653</v>
      </c>
      <c r="AA159">
        <v>1.229894703758</v>
      </c>
      <c r="AB159">
        <v>1.21175148361948</v>
      </c>
      <c r="AC159">
        <v>1.19335138905733</v>
      </c>
      <c r="AD159">
        <v>1.17472277288175</v>
      </c>
      <c r="AE159">
        <v>1.15589472687911</v>
      </c>
      <c r="AF159">
        <v>1.13689691781633</v>
      </c>
      <c r="AG159">
        <v>1.11775941230557</v>
      </c>
      <c r="AH159">
        <v>1.09851249337991</v>
      </c>
      <c r="AI159">
        <v>1.07918647189022</v>
      </c>
      <c r="AJ159">
        <v>1.05981149599728</v>
      </c>
      <c r="AK159">
        <v>1.04041736209263</v>
      </c>
      <c r="AL159">
        <v>1.0210333304343</v>
      </c>
      <c r="AM159">
        <v>1.00168794863108</v>
      </c>
      <c r="AN159">
        <v>0.982408885860131</v>
      </c>
      <c r="AO159">
        <v>0.963222780369149</v>
      </c>
      <c r="AP159">
        <v>0.944155102412608</v>
      </c>
      <c r="AQ159" s="3"/>
    </row>
    <row r="160" spans="1:43">
      <c r="A160" s="1">
        <f t="shared" si="5"/>
        <v>88.5</v>
      </c>
      <c r="B160">
        <v>1.54200857591606</v>
      </c>
      <c r="C160">
        <v>1.53596761225761</v>
      </c>
      <c r="D160">
        <v>1.52935425132425</v>
      </c>
      <c r="E160">
        <v>1.52216994606139</v>
      </c>
      <c r="F160">
        <v>1.51441655683839</v>
      </c>
      <c r="G160">
        <v>1.50609641937387</v>
      </c>
      <c r="H160">
        <v>1.49721241669535</v>
      </c>
      <c r="I160">
        <v>1.48776805457318</v>
      </c>
      <c r="J160">
        <v>1.47776753974869</v>
      </c>
      <c r="K160">
        <v>1.46721586014668</v>
      </c>
      <c r="L160">
        <v>1.45611886612409</v>
      </c>
      <c r="M160">
        <v>1.44448335166415</v>
      </c>
      <c r="N160">
        <v>1.43231713428137</v>
      </c>
      <c r="O160">
        <v>1.41962913226395</v>
      </c>
      <c r="P160">
        <v>1.4064294377514</v>
      </c>
      <c r="Q160">
        <v>1.39272938403401</v>
      </c>
      <c r="R160">
        <v>1.37854160537438</v>
      </c>
      <c r="S160">
        <v>1.36388008759764</v>
      </c>
      <c r="T160">
        <v>1.34876020768414</v>
      </c>
      <c r="U160">
        <v>1.33319876063361</v>
      </c>
      <c r="V160">
        <v>1.31721397195991</v>
      </c>
      <c r="W160">
        <v>1.30082549432515</v>
      </c>
      <c r="X160">
        <v>1.28405438703421</v>
      </c>
      <c r="Y160">
        <v>1.26692307738589</v>
      </c>
      <c r="Z160">
        <v>1.24945530321199</v>
      </c>
      <c r="AA160">
        <v>1.2316760363239</v>
      </c>
      <c r="AB160">
        <v>1.21361138701896</v>
      </c>
      <c r="AC160">
        <v>1.19528849026139</v>
      </c>
      <c r="AD160">
        <v>1.17673537462987</v>
      </c>
      <c r="AE160">
        <v>1.15798081559662</v>
      </c>
      <c r="AF160">
        <v>1.13905417515223</v>
      </c>
      <c r="AG160">
        <v>1.11998523019543</v>
      </c>
      <c r="AH160">
        <v>1.10080399244987</v>
      </c>
      <c r="AI160">
        <v>1.08154052293327</v>
      </c>
      <c r="AJ160">
        <v>1.06222474417536</v>
      </c>
      <c r="AK160">
        <v>1.04288625345166</v>
      </c>
      <c r="AL160">
        <v>1.02355414026575</v>
      </c>
      <c r="AM160">
        <v>1.00425681117623</v>
      </c>
      <c r="AN160">
        <v>0.985021824832217</v>
      </c>
      <c r="AO160">
        <v>0.965875739764575</v>
      </c>
      <c r="AP160">
        <v>0.946843977095635</v>
      </c>
      <c r="AQ160" s="3"/>
    </row>
    <row r="161" spans="1:43">
      <c r="A161" s="1">
        <f t="shared" si="5"/>
        <v>89</v>
      </c>
      <c r="B161">
        <v>1.54217021626577</v>
      </c>
      <c r="C161">
        <v>1.53616312232647</v>
      </c>
      <c r="D161">
        <v>1.52958680773167</v>
      </c>
      <c r="E161">
        <v>1.52244270116255</v>
      </c>
      <c r="F161">
        <v>1.51473263196318</v>
      </c>
      <c r="G161">
        <v>1.50645889696772</v>
      </c>
      <c r="H161">
        <v>1.49762433131266</v>
      </c>
      <c r="I161">
        <v>1.48823238268904</v>
      </c>
      <c r="J161">
        <v>1.47828718837301</v>
      </c>
      <c r="K161">
        <v>1.46779365424636</v>
      </c>
      <c r="L161">
        <v>1.45675753488385</v>
      </c>
      <c r="M161">
        <v>1.4451855136448</v>
      </c>
      <c r="N161">
        <v>1.43308528156574</v>
      </c>
      <c r="O161">
        <v>1.42046561371471</v>
      </c>
      <c r="P161">
        <v>1.40733644154129</v>
      </c>
      <c r="Q161">
        <v>1.39370891964627</v>
      </c>
      <c r="R161">
        <v>1.37959548530899</v>
      </c>
      <c r="S161">
        <v>1.36500990905528</v>
      </c>
      <c r="T161">
        <v>1.34996733453381</v>
      </c>
      <c r="U161">
        <v>1.33448430599924</v>
      </c>
      <c r="V161">
        <v>1.31857878178473</v>
      </c>
      <c r="W161">
        <v>1.30227013228801</v>
      </c>
      <c r="X161">
        <v>1.28557912119808</v>
      </c>
      <c r="Y161">
        <v>1.26852786895351</v>
      </c>
      <c r="Z161">
        <v>1.25113979774616</v>
      </c>
      <c r="AA161">
        <v>1.23343955775986</v>
      </c>
      <c r="AB161">
        <v>1.21545293475287</v>
      </c>
      <c r="AC161">
        <v>1.19720673954344</v>
      </c>
      <c r="AD161">
        <v>1.17872868042351</v>
      </c>
      <c r="AE161">
        <v>1.16004721998955</v>
      </c>
      <c r="AF161">
        <v>1.14119141832169</v>
      </c>
      <c r="AG161">
        <v>1.12219076484411</v>
      </c>
      <c r="AH161">
        <v>1.10307500154197</v>
      </c>
      <c r="AI161">
        <v>1.08387394047676</v>
      </c>
      <c r="AJ161">
        <v>1.0646172787203</v>
      </c>
      <c r="AK161">
        <v>1.04533441390763</v>
      </c>
      <c r="AL161">
        <v>1.02605426358827</v>
      </c>
      <c r="AM161">
        <v>1.00680509143307</v>
      </c>
      <c r="AN161">
        <v>0.987614343138035</v>
      </c>
      <c r="AO161">
        <v>0.968508494566814</v>
      </c>
      <c r="AP161">
        <v>0.949512914304572</v>
      </c>
      <c r="AQ161" s="3"/>
    </row>
    <row r="162" spans="1:43">
      <c r="A162" s="1">
        <f t="shared" si="5"/>
        <v>89.5</v>
      </c>
      <c r="B162">
        <v>1.54233005204938</v>
      </c>
      <c r="C162">
        <v>1.53635645052986</v>
      </c>
      <c r="D162">
        <v>1.52981677012913</v>
      </c>
      <c r="E162">
        <v>1.52271241580097</v>
      </c>
      <c r="F162">
        <v>1.51504518654937</v>
      </c>
      <c r="G162">
        <v>1.50681734118098</v>
      </c>
      <c r="H162">
        <v>1.49803166799378</v>
      </c>
      <c r="I162">
        <v>1.48869155787166</v>
      </c>
      <c r="J162">
        <v>1.47880108014096</v>
      </c>
      <c r="K162">
        <v>1.46836506042141</v>
      </c>
      <c r="L162">
        <v>1.45738915957267</v>
      </c>
      <c r="M162">
        <v>1.44587995270096</v>
      </c>
      <c r="N162">
        <v>1.43384500705346</v>
      </c>
      <c r="O162">
        <v>1.4212929574938</v>
      </c>
      <c r="P162">
        <v>1.40823357812803</v>
      </c>
      <c r="Q162">
        <v>1.39467784854148</v>
      </c>
      <c r="R162">
        <v>1.38063801302122</v>
      </c>
      <c r="S162">
        <v>1.36612763108272</v>
      </c>
      <c r="T162">
        <v>1.3511616176018</v>
      </c>
      <c r="U162">
        <v>1.33575627087939</v>
      </c>
      <c r="V162">
        <v>1.3199292870449</v>
      </c>
      <c r="W162">
        <v>1.30369975933832</v>
      </c>
      <c r="X162">
        <v>1.28708816100453</v>
      </c>
      <c r="Y162">
        <v>1.27011631078673</v>
      </c>
      <c r="Z162">
        <v>1.2528073203169</v>
      </c>
      <c r="AA162">
        <v>1.23518552306457</v>
      </c>
      <c r="AB162">
        <v>1.21727638491154</v>
      </c>
      <c r="AC162">
        <v>1.19910639685873</v>
      </c>
      <c r="AD162">
        <v>1.18070295082615</v>
      </c>
      <c r="AE162">
        <v>1.16209419996138</v>
      </c>
      <c r="AF162">
        <v>1.14330890530767</v>
      </c>
      <c r="AG162">
        <v>1.12437627108042</v>
      </c>
      <c r="AH162">
        <v>1.10532577114271</v>
      </c>
      <c r="AI162">
        <v>1.08618696953991</v>
      </c>
      <c r="AJ162">
        <v>1.0669893381381</v>
      </c>
      <c r="AK162">
        <v>1.04776207450051</v>
      </c>
      <c r="AL162">
        <v>1.02853392312754</v>
      </c>
      <c r="AM162">
        <v>1.00933300307803</v>
      </c>
      <c r="AN162">
        <v>0.990186644789357</v>
      </c>
      <c r="AO162">
        <v>0.971121238630013</v>
      </c>
      <c r="AP162">
        <v>0.952162097365894</v>
      </c>
      <c r="AQ162" s="3"/>
    </row>
    <row r="163" spans="1:43">
      <c r="A163" s="1">
        <f t="shared" si="5"/>
        <v>90</v>
      </c>
      <c r="B163">
        <v>1.5424881133106</v>
      </c>
      <c r="C163">
        <v>1.53654763317488</v>
      </c>
      <c r="D163">
        <v>1.53004418165365</v>
      </c>
      <c r="E163">
        <v>1.52297914049536</v>
      </c>
      <c r="F163">
        <v>1.51535427903036</v>
      </c>
      <c r="G163">
        <v>1.50717181887127</v>
      </c>
      <c r="H163">
        <v>1.4984345025014</v>
      </c>
      <c r="I163">
        <v>1.48914566523513</v>
      </c>
      <c r="J163">
        <v>1.47930930992339</v>
      </c>
      <c r="K163">
        <v>1.46893018365702</v>
      </c>
      <c r="L163">
        <v>1.45801385559243</v>
      </c>
      <c r="M163">
        <v>1.44656679489097</v>
      </c>
      <c r="N163">
        <v>1.43459644762872</v>
      </c>
      <c r="O163">
        <v>1.42211131140258</v>
      </c>
      <c r="P163">
        <v>1.40912100623612</v>
      </c>
      <c r="Q163">
        <v>1.39563634028105</v>
      </c>
      <c r="R163">
        <v>1.38166936872486</v>
      </c>
      <c r="S163">
        <v>1.36723344425831</v>
      </c>
      <c r="T163">
        <v>1.35234325743623</v>
      </c>
      <c r="U163">
        <v>1.33701486528811</v>
      </c>
      <c r="V163">
        <v>1.32126570660738</v>
      </c>
      <c r="W163">
        <v>1.30511460247562</v>
      </c>
      <c r="X163">
        <v>1.28858174076214</v>
      </c>
      <c r="Y163">
        <v>1.27168864358299</v>
      </c>
      <c r="Z163">
        <v>1.25445811700263</v>
      </c>
      <c r="AA163">
        <v>1.23691418261302</v>
      </c>
      <c r="AB163">
        <v>1.2190819910189</v>
      </c>
      <c r="AC163">
        <v>1.20098771768463</v>
      </c>
      <c r="AD163">
        <v>1.182658442042</v>
      </c>
      <c r="AE163">
        <v>1.16412201120346</v>
      </c>
      <c r="AF163">
        <v>1.14540689005439</v>
      </c>
      <c r="AG163">
        <v>1.12654199989133</v>
      </c>
      <c r="AH163">
        <v>1.10755654811406</v>
      </c>
      <c r="AI163">
        <v>1.08847985175155</v>
      </c>
      <c r="AJ163">
        <v>1.06934115779172</v>
      </c>
      <c r="AK163">
        <v>1.05016946338382</v>
      </c>
      <c r="AL163">
        <v>1.03099333898473</v>
      </c>
      <c r="AM163">
        <v>1.01184075742674</v>
      </c>
      <c r="AN163">
        <v>0.992738931698779</v>
      </c>
      <c r="AO163">
        <v>0.973714163965556</v>
      </c>
      <c r="AP163">
        <v>0.95479170801151</v>
      </c>
      <c r="AQ163" s="3"/>
    </row>
    <row r="164" spans="1:43">
      <c r="A164" s="1">
        <f t="shared" si="5"/>
        <v>90.5</v>
      </c>
      <c r="B164">
        <v>1.54264442943007</v>
      </c>
      <c r="C164">
        <v>1.53673670576782</v>
      </c>
      <c r="D164">
        <v>1.53026908449157</v>
      </c>
      <c r="E164">
        <v>1.52324292465225</v>
      </c>
      <c r="F164">
        <v>1.51565996655481</v>
      </c>
      <c r="G164">
        <v>1.50752239542865</v>
      </c>
      <c r="H164">
        <v>1.4988329089385</v>
      </c>
      <c r="I164">
        <v>1.48959478803344</v>
      </c>
      <c r="J164">
        <v>1.47981197052379</v>
      </c>
      <c r="K164">
        <v>1.46948912665828</v>
      </c>
      <c r="L164">
        <v>1.45863173584868</v>
      </c>
      <c r="M164">
        <v>1.44724616355887</v>
      </c>
      <c r="N164">
        <v>1.43533973724386</v>
      </c>
      <c r="O164">
        <v>1.42292082009595</v>
      </c>
      <c r="P164">
        <v>1.40999888123443</v>
      </c>
      <c r="Q164">
        <v>1.3965845608697</v>
      </c>
      <c r="R164">
        <v>1.38268972888694</v>
      </c>
      <c r="S164">
        <v>1.36832753523738</v>
      </c>
      <c r="T164">
        <v>1.35351245050264</v>
      </c>
      <c r="U164">
        <v>1.33826029501681</v>
      </c>
      <c r="V164">
        <v>1.32258825499858</v>
      </c>
      <c r="W164">
        <v>1.30651488426552</v>
      </c>
      <c r="X164">
        <v>1.29006009027894</v>
      </c>
      <c r="Y164">
        <v>1.27324510350104</v>
      </c>
      <c r="Z164">
        <v>1.25609242933464</v>
      </c>
      <c r="AA164">
        <v>1.23862578225511</v>
      </c>
      <c r="AB164">
        <v>1.22087000212661</v>
      </c>
      <c r="AC164">
        <v>1.20285095310948</v>
      </c>
      <c r="AD164">
        <v>1.18459540599892</v>
      </c>
      <c r="AE164">
        <v>1.16613090527135</v>
      </c>
      <c r="AF164">
        <v>1.14748562253666</v>
      </c>
      <c r="AG164">
        <v>1.12868819848395</v>
      </c>
      <c r="AH164">
        <v>1.10976757574788</v>
      </c>
      <c r="AI164">
        <v>1.090752825397</v>
      </c>
      <c r="AJ164">
        <v>1.0716729699404</v>
      </c>
      <c r="AK164">
        <v>1.05255680585663</v>
      </c>
      <c r="AL164">
        <v>1.03343272866161</v>
      </c>
      <c r="AM164">
        <v>1.01432856345241</v>
      </c>
      <c r="AN164">
        <v>0.995271403692112</v>
      </c>
      <c r="AO164">
        <v>0.976287460748948</v>
      </c>
      <c r="AP164">
        <v>0.957401926380733</v>
      </c>
      <c r="AQ164" s="3"/>
    </row>
    <row r="165" spans="1:43">
      <c r="A165" s="1">
        <f t="shared" si="5"/>
        <v>91</v>
      </c>
      <c r="B165">
        <v>1.54279902914355</v>
      </c>
      <c r="C165">
        <v>1.53692370303613</v>
      </c>
      <c r="D165">
        <v>1.53049151990461</v>
      </c>
      <c r="E165">
        <v>1.52350381659639</v>
      </c>
      <c r="F165">
        <v>1.5159623050217</v>
      </c>
      <c r="G165">
        <v>1.50786913481561</v>
      </c>
      <c r="H165">
        <v>1.49922695979349</v>
      </c>
      <c r="I165">
        <v>1.49003900771093</v>
      </c>
      <c r="J165">
        <v>1.48030915273409</v>
      </c>
      <c r="K165">
        <v>1.47004198991159</v>
      </c>
      <c r="L165">
        <v>1.45924291081742</v>
      </c>
      <c r="M165">
        <v>1.44791817940655</v>
      </c>
      <c r="N165">
        <v>1.43607500699694</v>
      </c>
      <c r="O165">
        <v>1.42372162516497</v>
      </c>
      <c r="P165">
        <v>1.41086735522358</v>
      </c>
      <c r="Q165">
        <v>1.39752267284724</v>
      </c>
      <c r="R165">
        <v>1.38369926632333</v>
      </c>
      <c r="S165">
        <v>1.36941008685114</v>
      </c>
      <c r="T165">
        <v>1.35466938928547</v>
      </c>
      <c r="U165">
        <v>1.33949276173763</v>
      </c>
      <c r="V165">
        <v>1.32389714250877</v>
      </c>
      <c r="W165">
        <v>1.30790082294437</v>
      </c>
      <c r="X165">
        <v>1.29152343496631</v>
      </c>
      <c r="Y165">
        <v>1.27478592226315</v>
      </c>
      <c r="Z165">
        <v>1.25771049439675</v>
      </c>
      <c r="AA165">
        <v>1.24032056341194</v>
      </c>
      <c r="AB165">
        <v>1.22264066290614</v>
      </c>
      <c r="AC165">
        <v>1.2046963499196</v>
      </c>
      <c r="AD165">
        <v>1.18651409042971</v>
      </c>
      <c r="AE165">
        <v>1.16812112965982</v>
      </c>
      <c r="AF165">
        <v>1.14954534882808</v>
      </c>
      <c r="AG165">
        <v>1.13081511034667</v>
      </c>
      <c r="AH165">
        <v>1.11195909381976</v>
      </c>
      <c r="AI165">
        <v>1.09300612546447</v>
      </c>
      <c r="AJ165">
        <v>1.07398500377876</v>
      </c>
      <c r="AK165">
        <v>1.05492432439554</v>
      </c>
      <c r="AL165">
        <v>1.03585230708565</v>
      </c>
      <c r="AM165">
        <v>1.01679662780466</v>
      </c>
      <c r="AN165">
        <v>0.997784258521196</v>
      </c>
      <c r="AO165">
        <v>0.978841317327201</v>
      </c>
      <c r="AP165">
        <v>0.959992931022828</v>
      </c>
      <c r="AQ165" s="3"/>
    </row>
    <row r="166" spans="1:43">
      <c r="A166" s="1">
        <f t="shared" si="5"/>
        <v>91.5</v>
      </c>
      <c r="B166">
        <v>1.54295194055953</v>
      </c>
      <c r="C166">
        <v>1.53710865894964</v>
      </c>
      <c r="D166">
        <v>1.53071152825502</v>
      </c>
      <c r="E166">
        <v>1.52376186360019</v>
      </c>
      <c r="F166">
        <v>1.51626134911433</v>
      </c>
      <c r="G166">
        <v>1.5082120996058</v>
      </c>
      <c r="H166">
        <v>1.49961672598381</v>
      </c>
      <c r="I166">
        <v>1.49047840395104</v>
      </c>
      <c r="J166">
        <v>1.48080094538875</v>
      </c>
      <c r="K166">
        <v>1.47058887174403</v>
      </c>
      <c r="L166">
        <v>1.45984748860984</v>
      </c>
      <c r="M166">
        <v>1.44858296056388</v>
      </c>
      <c r="N166">
        <v>1.43680238520688</v>
      </c>
      <c r="O166">
        <v>1.42451386521696</v>
      </c>
      <c r="P166">
        <v>1.41172657712062</v>
      </c>
      <c r="Q166">
        <v>1.39845083537748</v>
      </c>
      <c r="R166">
        <v>1.38469815029147</v>
      </c>
      <c r="S166">
        <v>1.37048127820257</v>
      </c>
      <c r="T166">
        <v>1.35581426238662</v>
      </c>
      <c r="U166">
        <v>1.3407124631038</v>
      </c>
      <c r="V166">
        <v>1.32519257529353</v>
      </c>
      <c r="W166">
        <v>1.30927263252092</v>
      </c>
      <c r="X166">
        <v>1.29297199594014</v>
      </c>
      <c r="Y166">
        <v>1.27631132725477</v>
      </c>
      <c r="Z166">
        <v>1.25931254492262</v>
      </c>
      <c r="AA166">
        <v>1.24199876316989</v>
      </c>
      <c r="AB166">
        <v>1.2243942137387</v>
      </c>
      <c r="AC166">
        <v>1.20652415068444</v>
      </c>
      <c r="AD166">
        <v>1.18841473895174</v>
      </c>
      <c r="AE166">
        <v>1.1700929278764</v>
      </c>
      <c r="AF166">
        <v>1.1515863111681</v>
      </c>
      <c r="AG166">
        <v>1.13292297530934</v>
      </c>
      <c r="AH166">
        <v>1.11413133864213</v>
      </c>
      <c r="AI166">
        <v>1.09523998369111</v>
      </c>
      <c r="AJ166">
        <v>1.07627748547571</v>
      </c>
      <c r="AK166">
        <v>1.0572722386867</v>
      </c>
      <c r="AL166">
        <v>1.03825228663542</v>
      </c>
      <c r="AM166">
        <v>1.01924515482848</v>
      </c>
      <c r="AN166">
        <v>1.0002776918771</v>
      </c>
      <c r="AO166">
        <v>0.981375920226714</v>
      </c>
      <c r="AP166">
        <v>0.962564898900109</v>
      </c>
      <c r="AQ166" s="3"/>
    </row>
    <row r="167" spans="1:43">
      <c r="A167" s="1">
        <f t="shared" si="5"/>
        <v>92</v>
      </c>
      <c r="B167">
        <v>1.54310319117623</v>
      </c>
      <c r="C167">
        <v>1.53729160674109</v>
      </c>
      <c r="D167">
        <v>1.53092914902997</v>
      </c>
      <c r="E167">
        <v>1.52401711191221</v>
      </c>
      <c r="F167">
        <v>1.5165571523331</v>
      </c>
      <c r="G167">
        <v>1.50855135102142</v>
      </c>
      <c r="H167">
        <v>1.50000227689826</v>
      </c>
      <c r="I167">
        <v>1.49091305472358</v>
      </c>
      <c r="J167">
        <v>1.48128743541707</v>
      </c>
      <c r="K167">
        <v>1.47112986838082</v>
      </c>
      <c r="L167">
        <v>1.460445575035</v>
      </c>
      <c r="M167">
        <v>1.44924062265639</v>
      </c>
      <c r="N167">
        <v>1.43752199748625</v>
      </c>
      <c r="O167">
        <v>1.42529767595308</v>
      </c>
      <c r="P167">
        <v>1.41257669274119</v>
      </c>
      <c r="Q167">
        <v>1.39936920433448</v>
      </c>
      <c r="R167">
        <v>1.38568654658032</v>
      </c>
      <c r="S167">
        <v>1.37154128475961</v>
      </c>
      <c r="T167">
        <v>1.35694725462107</v>
      </c>
      <c r="U167">
        <v>1.34191959284721</v>
      </c>
      <c r="V167">
        <v>1.32647475547246</v>
      </c>
      <c r="W167">
        <v>1.31063052287536</v>
      </c>
      <c r="X167">
        <v>1.29440599011925</v>
      </c>
      <c r="Y167">
        <v>1.27782154162163</v>
      </c>
      <c r="Z167">
        <v>1.26089880939057</v>
      </c>
      <c r="AA167">
        <v>1.24366061437234</v>
      </c>
      <c r="AB167">
        <v>1.22613089080323</v>
      </c>
      <c r="AC167">
        <v>1.20833459383997</v>
      </c>
      <c r="AD167">
        <v>1.19029759114511</v>
      </c>
      <c r="AE167">
        <v>1.17204653951372</v>
      </c>
      <c r="AF167">
        <v>1.15360874802805</v>
      </c>
      <c r="AG167">
        <v>1.13501202960265</v>
      </c>
      <c r="AH167">
        <v>1.1162845431168</v>
      </c>
      <c r="AI167">
        <v>1.09745462860854</v>
      </c>
      <c r="AJ167">
        <v>1.07855063821317</v>
      </c>
      <c r="AK167">
        <v>1.05960076565775</v>
      </c>
      <c r="AL167">
        <v>1.04063287716598</v>
      </c>
      <c r="AM167">
        <v>1.02167434658362</v>
      </c>
      <c r="AN167">
        <v>1.00275189740369</v>
      </c>
      <c r="AO167">
        <v>0.983891454161601</v>
      </c>
      <c r="AP167">
        <v>0.96511800539156</v>
      </c>
      <c r="AQ167" s="3"/>
    </row>
    <row r="168" spans="1:43">
      <c r="A168" s="1">
        <f t="shared" si="5"/>
        <v>92.5</v>
      </c>
      <c r="B168">
        <v>1.54325280789807</v>
      </c>
      <c r="C168">
        <v>1.53747257892604</v>
      </c>
      <c r="D168">
        <v>1.5311444208651</v>
      </c>
      <c r="E168">
        <v>1.52426960678465</v>
      </c>
      <c r="F168">
        <v>1.51684976702733</v>
      </c>
      <c r="G168">
        <v>1.50888694896951</v>
      </c>
      <c r="H168">
        <v>1.50038368043783</v>
      </c>
      <c r="I168">
        <v>1.49134303633042</v>
      </c>
      <c r="J168">
        <v>1.48176870789388</v>
      </c>
      <c r="K168">
        <v>1.47166507400103</v>
      </c>
      <c r="L168">
        <v>1.46103727366053</v>
      </c>
      <c r="M168">
        <v>1.44989127887102</v>
      </c>
      <c r="N168">
        <v>1.43823396681183</v>
      </c>
      <c r="O168">
        <v>1.4260731902435</v>
      </c>
      <c r="P168">
        <v>1.41341784487906</v>
      </c>
      <c r="Q168">
        <v>1.40027793238627</v>
      </c>
      <c r="R168">
        <v>1.38666461759763</v>
      </c>
      <c r="S168">
        <v>1.37259027844549</v>
      </c>
      <c r="T168">
        <v>1.35806854710986</v>
      </c>
      <c r="U168">
        <v>1.34311434087316</v>
      </c>
      <c r="V168">
        <v>1.32774388122503</v>
      </c>
      <c r="W168">
        <v>1.31197469985561</v>
      </c>
      <c r="X168">
        <v>1.29582563032128</v>
      </c>
      <c r="Y168">
        <v>1.27931678436435</v>
      </c>
      <c r="Z168">
        <v>1.26246951211619</v>
      </c>
      <c r="AA168">
        <v>1.24530634570937</v>
      </c>
      <c r="AB168">
        <v>1.22785092616229</v>
      </c>
      <c r="AC168">
        <v>1.21012791377015</v>
      </c>
      <c r="AD168">
        <v>1.19216288262907</v>
      </c>
      <c r="AE168">
        <v>1.17398220032036</v>
      </c>
      <c r="AF168">
        <v>1.15561289417595</v>
      </c>
      <c r="AG168">
        <v>1.13708250591661</v>
      </c>
      <c r="AH168">
        <v>1.11841893678681</v>
      </c>
      <c r="AI168">
        <v>1.09965028558804</v>
      </c>
      <c r="AJ168">
        <v>1.0808046822245</v>
      </c>
      <c r="AK168">
        <v>1.06191011950963</v>
      </c>
      <c r="AL168">
        <v>1.04299428603444</v>
      </c>
      <c r="AM168">
        <v>1.02408440286403</v>
      </c>
      <c r="AN168">
        <v>1.00520706671154</v>
      </c>
      <c r="AO168">
        <v>0.986388102042448</v>
      </c>
      <c r="AP168">
        <v>0.96765242429695</v>
      </c>
      <c r="AQ168" s="3"/>
    </row>
    <row r="169" spans="1:43">
      <c r="A169" s="1">
        <f t="shared" si="5"/>
        <v>93</v>
      </c>
      <c r="B169">
        <v>1.5434008170516</v>
      </c>
      <c r="C169">
        <v>1.53765160732207</v>
      </c>
      <c r="D169">
        <v>1.53135738156739</v>
      </c>
      <c r="E169">
        <v>1.52451939250009</v>
      </c>
      <c r="F169">
        <v>1.51713924442599</v>
      </c>
      <c r="G169">
        <v>1.509218952077</v>
      </c>
      <c r="H169">
        <v>1.50076100305537</v>
      </c>
      <c r="I169">
        <v>1.49176842344979</v>
      </c>
      <c r="J169">
        <v>1.48224484608854</v>
      </c>
      <c r="K169">
        <v>1.47219458079148</v>
      </c>
      <c r="L169">
        <v>1.46162268587142</v>
      </c>
      <c r="M169">
        <v>1.45053504001974</v>
      </c>
      <c r="N169">
        <v>1.43893841359292</v>
      </c>
      <c r="O169">
        <v>1.42684053820036</v>
      </c>
      <c r="P169">
        <v>1.41425017338339</v>
      </c>
      <c r="Q169">
        <v>1.40117716907591</v>
      </c>
      <c r="R169">
        <v>1.38763252245464</v>
      </c>
      <c r="S169">
        <v>1.37362842772651</v>
      </c>
      <c r="T169">
        <v>1.35917831737024</v>
      </c>
      <c r="U169">
        <v>1.34429689335246</v>
      </c>
      <c r="V169">
        <v>1.32900014688394</v>
      </c>
      <c r="W169">
        <v>1.31330536537099</v>
      </c>
      <c r="X169">
        <v>1.29723112535606</v>
      </c>
      <c r="Y169">
        <v>1.28079727043065</v>
      </c>
      <c r="Z169">
        <v>1.26402487334248</v>
      </c>
      <c r="AA169">
        <v>1.24693618180527</v>
      </c>
      <c r="AB169">
        <v>1.22955454784614</v>
      </c>
      <c r="AC169">
        <v>1.21190434088685</v>
      </c>
      <c r="AD169">
        <v>1.19401084513711</v>
      </c>
      <c r="AE169">
        <v>1.17590014227052</v>
      </c>
      <c r="AF169">
        <v>1.15759898074036</v>
      </c>
      <c r="AG169">
        <v>1.13913463345815</v>
      </c>
      <c r="AH169">
        <v>1.12053474588765</v>
      </c>
      <c r="AI169">
        <v>1.10182717688524</v>
      </c>
      <c r="AJ169">
        <v>1.08303983483263</v>
      </c>
      <c r="AK169">
        <v>1.06420051174844</v>
      </c>
      <c r="AL169">
        <v>1.04533671812556</v>
      </c>
      <c r="AM169">
        <v>1.02647552121759</v>
      </c>
      <c r="AN169">
        <v>1.00764338939215</v>
      </c>
      <c r="AO169">
        <v>0.988866044985477</v>
      </c>
      <c r="AP169">
        <v>0.970168327841433</v>
      </c>
      <c r="AQ169" s="3"/>
    </row>
    <row r="170" spans="1:43">
      <c r="A170" s="1">
        <f t="shared" si="5"/>
        <v>93.5</v>
      </c>
      <c r="B170">
        <v>1.54354724440097</v>
      </c>
      <c r="C170">
        <v>1.53782872306741</v>
      </c>
      <c r="D170">
        <v>1.53156806813716</v>
      </c>
      <c r="E170">
        <v>1.52476651239724</v>
      </c>
      <c r="F170">
        <v>1.51742563466751</v>
      </c>
      <c r="G170">
        <v>1.50954741772468</v>
      </c>
      <c r="H170">
        <v>1.50113430979384</v>
      </c>
      <c r="I170">
        <v>1.49218928917912</v>
      </c>
      <c r="J170">
        <v>1.48271593151253</v>
      </c>
      <c r="K170">
        <v>1.47271847899899</v>
      </c>
      <c r="L170">
        <v>1.46220191092698</v>
      </c>
      <c r="M170">
        <v>1.45117201460117</v>
      </c>
      <c r="N170">
        <v>1.43963545573762</v>
      </c>
      <c r="O170">
        <v>1.4275998472484</v>
      </c>
      <c r="P170">
        <v>1.41507381523351</v>
      </c>
      <c r="Q170">
        <v>1.40206706090028</v>
      </c>
      <c r="R170">
        <v>1.38859041704827</v>
      </c>
      <c r="S170">
        <v>1.37465589769724</v>
      </c>
      <c r="T170">
        <v>1.36027673940343</v>
      </c>
      <c r="U170">
        <v>1.345467432811</v>
      </c>
      <c r="V170">
        <v>1.33024374302577</v>
      </c>
      <c r="W170">
        <v>1.31462271748345</v>
      </c>
      <c r="X170">
        <v>1.29862268011652</v>
      </c>
      <c r="Y170">
        <v>1.2822632108052</v>
      </c>
      <c r="Z170">
        <v>1.26556510932803</v>
      </c>
      <c r="AA170">
        <v>1.24855034330396</v>
      </c>
      <c r="AB170">
        <v>1.23124197993486</v>
      </c>
      <c r="AC170">
        <v>1.21366410170795</v>
      </c>
      <c r="AD170">
        <v>1.19584170659042</v>
      </c>
      <c r="AE170">
        <v>1.17780059363233</v>
      </c>
      <c r="AF170">
        <v>1.15956723527304</v>
      </c>
      <c r="AG170">
        <v>1.14116863800787</v>
      </c>
      <c r="AH170">
        <v>1.12263219339781</v>
      </c>
      <c r="AI170">
        <v>1.10398552168431</v>
      </c>
      <c r="AJ170">
        <v>1.08525631048807</v>
      </c>
      <c r="AK170">
        <v>1.06647215121707</v>
      </c>
      <c r="AL170">
        <v>1.04766037587736</v>
      </c>
      <c r="AM170">
        <v>1.02884789696606</v>
      </c>
      <c r="AN170">
        <v>1.01006105303245</v>
      </c>
      <c r="AO170">
        <v>0.9913254623221</v>
      </c>
      <c r="AP170">
        <v>0.972665886680591</v>
      </c>
      <c r="AQ170" s="3"/>
    </row>
    <row r="171" spans="1:43">
      <c r="A171" s="1">
        <f t="shared" si="5"/>
        <v>94</v>
      </c>
      <c r="B171">
        <v>1.54369211516281</v>
      </c>
      <c r="C171">
        <v>1.538003956639</v>
      </c>
      <c r="D171">
        <v>1.53177651678954</v>
      </c>
      <c r="E171">
        <v>1.52501100889598</v>
      </c>
      <c r="F171">
        <v>1.5177089868286</v>
      </c>
      <c r="G171">
        <v>1.50987240208012</v>
      </c>
      <c r="H171">
        <v>1.50150366432354</v>
      </c>
      <c r="I171">
        <v>1.49260570507659</v>
      </c>
      <c r="J171">
        <v>1.48318204396541</v>
      </c>
      <c r="K171">
        <v>1.47323685698093</v>
      </c>
      <c r="L171">
        <v>1.46277504601604</v>
      </c>
      <c r="M171">
        <v>1.45180230886037</v>
      </c>
      <c r="N171">
        <v>1.44032520871707</v>
      </c>
      <c r="O171">
        <v>1.42835124219351</v>
      </c>
      <c r="P171">
        <v>1.41588890461157</v>
      </c>
      <c r="Q171">
        <v>1.40294775138639</v>
      </c>
      <c r="R171">
        <v>1.38953845414092</v>
      </c>
      <c r="S171">
        <v>1.3756728501632</v>
      </c>
      <c r="T171">
        <v>1.3613639837797</v>
      </c>
      <c r="U171">
        <v>1.34662613821669</v>
      </c>
      <c r="V171">
        <v>1.33147485655922</v>
      </c>
      <c r="W171">
        <v>1.31592695049629</v>
      </c>
      <c r="X171">
        <v>1.30000049566721</v>
      </c>
      <c r="Y171">
        <v>1.28371481259726</v>
      </c>
      <c r="Z171">
        <v>1.26709043243281</v>
      </c>
      <c r="AA171">
        <v>1.25014904695248</v>
      </c>
      <c r="AB171">
        <v>1.23291344263866</v>
      </c>
      <c r="AC171">
        <v>1.21540741893377</v>
      </c>
      <c r="AD171">
        <v>1.19765569116992</v>
      </c>
      <c r="AE171">
        <v>1.17968377903489</v>
      </c>
      <c r="AF171">
        <v>1.16151788181065</v>
      </c>
      <c r="AG171">
        <v>1.14318474197595</v>
      </c>
      <c r="AH171">
        <v>1.12471149908869</v>
      </c>
      <c r="AI171">
        <v>1.10612553614181</v>
      </c>
      <c r="AJ171">
        <v>1.08745432080645</v>
      </c>
      <c r="AK171">
        <v>1.06872524412679</v>
      </c>
      <c r="AL171">
        <v>1.04996545930687</v>
      </c>
      <c r="AM171">
        <v>1.0312017232251</v>
      </c>
      <c r="AN171">
        <v>1.01246024322961</v>
      </c>
      <c r="AO171">
        <v>0.993766531608819</v>
      </c>
      <c r="AP171">
        <v>0.975145269905906</v>
      </c>
      <c r="AQ171" s="3"/>
    </row>
    <row r="172" spans="1:43">
      <c r="A172" s="1">
        <f t="shared" si="5"/>
        <v>94.5</v>
      </c>
      <c r="B172">
        <v>1.54383545402072</v>
      </c>
      <c r="C172">
        <v>1.53817733786989</v>
      </c>
      <c r="D172">
        <v>1.53198276297514</v>
      </c>
      <c r="E172">
        <v>1.52525292352156</v>
      </c>
      <c r="F172">
        <v>1.51798934895218</v>
      </c>
      <c r="G172">
        <v>1.51019396012949</v>
      </c>
      <c r="H172">
        <v>1.50186912897798</v>
      </c>
      <c r="I172">
        <v>1.49301774120133</v>
      </c>
      <c r="J172">
        <v>1.48364326157945</v>
      </c>
      <c r="K172">
        <v>1.47374980125434</v>
      </c>
      <c r="L172">
        <v>1.46334218631043</v>
      </c>
      <c r="M172">
        <v>1.45242602684676</v>
      </c>
      <c r="N172">
        <v>1.44100778562767</v>
      </c>
      <c r="O172">
        <v>1.42909484528916</v>
      </c>
      <c r="P172">
        <v>1.41669557297298</v>
      </c>
      <c r="Q172">
        <v>1.40381938116556</v>
      </c>
      <c r="R172">
        <v>1.39047678343783</v>
      </c>
      <c r="S172">
        <v>1.37667944372127</v>
      </c>
      <c r="T172">
        <v>1.36244021772115</v>
      </c>
      <c r="U172">
        <v>1.34777318506409</v>
      </c>
      <c r="V172">
        <v>1.3326936708109</v>
      </c>
      <c r="W172">
        <v>1.31721825504054</v>
      </c>
      <c r="X172">
        <v>1.30136476933055</v>
      </c>
      <c r="Y172">
        <v>1.28515227912601</v>
      </c>
      <c r="Z172">
        <v>1.268601051202</v>
      </c>
      <c r="AA172">
        <v>1.25173250568249</v>
      </c>
      <c r="AB172">
        <v>1.23456915237632</v>
      </c>
      <c r="AC172">
        <v>1.21713451152196</v>
      </c>
      <c r="AD172">
        <v>1.19945301938683</v>
      </c>
      <c r="AE172">
        <v>1.18154991953412</v>
      </c>
      <c r="AF172">
        <v>1.16345114093528</v>
      </c>
      <c r="AG172">
        <v>1.14518316445719</v>
      </c>
      <c r="AH172">
        <v>1.12677287957382</v>
      </c>
      <c r="AI172">
        <v>1.10824743342993</v>
      </c>
      <c r="AJ172">
        <v>1.0896340746059</v>
      </c>
      <c r="AK172">
        <v>1.07095999408868</v>
      </c>
      <c r="AL172">
        <v>1.05225216603576</v>
      </c>
      <c r="AM172">
        <v>1.03353719092449</v>
      </c>
      <c r="AN172">
        <v>1.01484114360607</v>
      </c>
      <c r="AO172">
        <v>0.996189428637477</v>
      </c>
      <c r="AP172">
        <v>0.977606645050649</v>
      </c>
      <c r="AQ172" s="3"/>
    </row>
    <row r="173" spans="1:43">
      <c r="A173" s="1">
        <f t="shared" si="5"/>
        <v>95</v>
      </c>
      <c r="B173">
        <v>1.54397728513929</v>
      </c>
      <c r="C173">
        <v>1.5383488959662</v>
      </c>
      <c r="D173">
        <v>1.53218684140011</v>
      </c>
      <c r="E173">
        <v>1.525492296928</v>
      </c>
      <c r="F173">
        <v>1.51826676807447</v>
      </c>
      <c r="G173">
        <v>1.51051214570846</v>
      </c>
      <c r="H173">
        <v>1.5022307647888</v>
      </c>
      <c r="I173">
        <v>1.49342546615239</v>
      </c>
      <c r="J173">
        <v>1.48409966086283</v>
      </c>
      <c r="K173">
        <v>1.47425739654334</v>
      </c>
      <c r="L173">
        <v>1.46390342501686</v>
      </c>
      <c r="M173">
        <v>1.45304327047026</v>
      </c>
      <c r="N173">
        <v>1.4416832972515</v>
      </c>
      <c r="O173">
        <v>1.42983077630088</v>
      </c>
      <c r="P173">
        <v>1.41749394911468</v>
      </c>
      <c r="Q173">
        <v>1.40468208804532</v>
      </c>
      <c r="R173">
        <v>1.39140555166237</v>
      </c>
      <c r="S173">
        <v>1.37767583383764</v>
      </c>
      <c r="T173">
        <v>1.36350560518211</v>
      </c>
      <c r="U173">
        <v>1.34890874545663</v>
      </c>
      <c r="V173">
        <v>1.33390036560886</v>
      </c>
      <c r="W173">
        <v>1.31849681815902</v>
      </c>
      <c r="X173">
        <v>1.30271569477084</v>
      </c>
      <c r="Y173">
        <v>1.28657581000382</v>
      </c>
      <c r="Z173">
        <v>1.27009717044778</v>
      </c>
      <c r="AA173">
        <v>1.25330092868978</v>
      </c>
      <c r="AB173">
        <v>1.23620932185199</v>
      </c>
      <c r="AC173">
        <v>1.2188455947607</v>
      </c>
      <c r="AD173">
        <v>1.20123390815188</v>
      </c>
      <c r="AE173">
        <v>1.18339923267733</v>
      </c>
      <c r="AF173">
        <v>1.16536722983408</v>
      </c>
      <c r="AG173">
        <v>1.14716412128517</v>
      </c>
      <c r="AH173">
        <v>1.12881654835747</v>
      </c>
      <c r="AI173">
        <v>1.11035142377936</v>
      </c>
      <c r="AJ173">
        <v>1.0917957779441</v>
      </c>
      <c r="AK173">
        <v>1.07317660214491</v>
      </c>
      <c r="AL173">
        <v>1.05452069131609</v>
      </c>
      <c r="AM173">
        <v>1.03585448882846</v>
      </c>
      <c r="AN173">
        <v>1.01720393582476</v>
      </c>
      <c r="AO173">
        <v>0.998594327445815</v>
      </c>
      <c r="AP173">
        <v>0.98005017809614</v>
      </c>
      <c r="AQ173" s="3"/>
    </row>
    <row r="174" spans="1:43">
      <c r="A174" s="1">
        <f t="shared" si="5"/>
        <v>95.5</v>
      </c>
      <c r="B174">
        <v>1.54411763217764</v>
      </c>
      <c r="C174">
        <v>1.53851865952347</v>
      </c>
      <c r="D174">
        <v>1.53238878604559</v>
      </c>
      <c r="E174">
        <v>1.52572916892088</v>
      </c>
      <c r="F174">
        <v>1.51854129025112</v>
      </c>
      <c r="G174">
        <v>1.51082701153204</v>
      </c>
      <c r="H174">
        <v>1.50258863151949</v>
      </c>
      <c r="I174">
        <v>1.49382894710652</v>
      </c>
      <c r="J174">
        <v>1.48455131674149</v>
      </c>
      <c r="K174">
        <v>1.47475972582526</v>
      </c>
      <c r="L174">
        <v>1.46445885342714</v>
      </c>
      <c r="M174">
        <v>1.45365413955575</v>
      </c>
      <c r="N174">
        <v>1.44235185211483</v>
      </c>
      <c r="O174">
        <v>1.4305591525688</v>
      </c>
      <c r="P174">
        <v>1.41828415924152</v>
      </c>
      <c r="Q174">
        <v>1.40553600707921</v>
      </c>
      <c r="R174">
        <v>1.39232490262897</v>
      </c>
      <c r="S174">
        <v>1.37866217292368</v>
      </c>
      <c r="T174">
        <v>1.36456030692725</v>
      </c>
      <c r="U174">
        <v>1.35003298818655</v>
      </c>
      <c r="V174">
        <v>1.33509511736374</v>
      </c>
      <c r="W174">
        <v>1.31976282338822</v>
      </c>
      <c r="X174">
        <v>1.30405346207608</v>
      </c>
      <c r="Y174">
        <v>1.28798560121736</v>
      </c>
      <c r="Z174">
        <v>1.27157899132904</v>
      </c>
      <c r="AA174">
        <v>1.25485452151207</v>
      </c>
      <c r="AB174">
        <v>1.23783416013013</v>
      </c>
      <c r="AC174">
        <v>1.22054088034039</v>
      </c>
      <c r="AD174">
        <v>1.20299857084304</v>
      </c>
      <c r="AE174">
        <v>1.18523193256654</v>
      </c>
      <c r="AF174">
        <v>1.16726636235774</v>
      </c>
      <c r="AG174">
        <v>1.14912782508565</v>
      </c>
      <c r="AH174">
        <v>1.13084271588257</v>
      </c>
      <c r="AI174">
        <v>1.11243771452162</v>
      </c>
      <c r="AJ174">
        <v>1.09393963415494</v>
      </c>
      <c r="AK174">
        <v>1.0753752667999</v>
      </c>
      <c r="AL174">
        <v>1.05677122805595</v>
      </c>
      <c r="AM174">
        <v>1.03815380355611</v>
      </c>
      <c r="AN174">
        <v>1.01954879960465</v>
      </c>
      <c r="AO174">
        <v>1.00098140032834</v>
      </c>
      <c r="AP174">
        <v>0.982476033478393</v>
      </c>
      <c r="AQ174" s="3"/>
    </row>
    <row r="175" spans="1:43">
      <c r="A175" s="1">
        <f t="shared" si="5"/>
        <v>96</v>
      </c>
      <c r="B175">
        <v>1.54425651830257</v>
      </c>
      <c r="C175">
        <v>1.53868665654254</v>
      </c>
      <c r="D175">
        <v>1.5325886301865</v>
      </c>
      <c r="E175">
        <v>1.52596357847928</v>
      </c>
      <c r="F175">
        <v>1.51881296058269</v>
      </c>
      <c r="G175">
        <v>1.51113860922364</v>
      </c>
      <c r="H175">
        <v>1.5029427876981</v>
      </c>
      <c r="I175">
        <v>1.49422824985475</v>
      </c>
      <c r="J175">
        <v>1.48499830259976</v>
      </c>
      <c r="K175">
        <v>1.47525687037526</v>
      </c>
      <c r="L175">
        <v>1.46500856096696</v>
      </c>
      <c r="M175">
        <v>1.45425873189588</v>
      </c>
      <c r="N175">
        <v>1.44301355654498</v>
      </c>
      <c r="O175">
        <v>1.43128008906828</v>
      </c>
      <c r="P175">
        <v>1.41906632703055</v>
      </c>
      <c r="Q175">
        <v>1.40638127063458</v>
      </c>
      <c r="R175">
        <v>1.39323497731405</v>
      </c>
      <c r="S175">
        <v>1.37963861040956</v>
      </c>
      <c r="T175">
        <v>1.36560448060756</v>
      </c>
      <c r="U175">
        <v>1.35114607881269</v>
      </c>
      <c r="V175">
        <v>1.33627809914779</v>
      </c>
      <c r="W175">
        <v>1.32101645083794</v>
      </c>
      <c r="X175">
        <v>1.3053782578377</v>
      </c>
      <c r="Y175">
        <v>1.28938184520672</v>
      </c>
      <c r="Z175">
        <v>1.27304671142925</v>
      </c>
      <c r="AA175">
        <v>1.25639348610487</v>
      </c>
      <c r="AB175">
        <v>1.23944387270887</v>
      </c>
      <c r="AC175">
        <v>1.22222057642379</v>
      </c>
      <c r="AD175">
        <v>1.20474721737193</v>
      </c>
      <c r="AE175">
        <v>1.18704822992072</v>
      </c>
      <c r="AF175">
        <v>1.16914874907802</v>
      </c>
      <c r="AG175">
        <v>1.15107448532907</v>
      </c>
      <c r="AH175">
        <v>1.13285158957795</v>
      </c>
      <c r="AI175">
        <v>1.11450651013096</v>
      </c>
      <c r="AJ175">
        <v>1.09606584388497</v>
      </c>
      <c r="AK175">
        <v>1.07755618405124</v>
      </c>
      <c r="AL175">
        <v>1.05900396684509</v>
      </c>
      <c r="AM175">
        <v>1.04043531960195</v>
      </c>
      <c r="AN175">
        <v>1.02187591273636</v>
      </c>
      <c r="AO175">
        <v>1.00335081784744</v>
      </c>
      <c r="AP175">
        <v>0.98488437409509</v>
      </c>
      <c r="AQ175" s="3"/>
    </row>
    <row r="176" spans="1:43">
      <c r="A176" s="1">
        <f t="shared" si="5"/>
        <v>96.5</v>
      </c>
      <c r="B176">
        <v>1.54439396620132</v>
      </c>
      <c r="C176">
        <v>1.53885291444491</v>
      </c>
      <c r="D176">
        <v>1.53278640640981</v>
      </c>
      <c r="E176">
        <v>1.52619556377713</v>
      </c>
      <c r="F176">
        <v>1.51908182323921</v>
      </c>
      <c r="G176">
        <v>1.51144698934304</v>
      </c>
      <c r="H176">
        <v>1.50329329064898</v>
      </c>
      <c r="I176">
        <v>1.49462343883787</v>
      </c>
      <c r="J176">
        <v>1.48544069031968</v>
      </c>
      <c r="K176">
        <v>1.47574890980963</v>
      </c>
      <c r="L176">
        <v>1.4655526352431</v>
      </c>
      <c r="M176">
        <v>1.45485714330225</v>
      </c>
      <c r="N176">
        <v>1.44366851472536</v>
      </c>
      <c r="O176">
        <v>1.4319936984688</v>
      </c>
      <c r="P176">
        <v>1.41984057369351</v>
      </c>
      <c r="Q176">
        <v>1.40721800845842</v>
      </c>
      <c r="R176">
        <v>1.3941359139249</v>
      </c>
      <c r="S176">
        <v>1.38060529281576</v>
      </c>
      <c r="T176">
        <v>1.36663828083416</v>
      </c>
      <c r="U176">
        <v>1.35224817973609</v>
      </c>
      <c r="V176">
        <v>1.33744948077179</v>
      </c>
      <c r="W176">
        <v>1.3222578772689</v>
      </c>
      <c r="X176">
        <v>1.30669026522822</v>
      </c>
      <c r="Y176">
        <v>1.29076473094256</v>
      </c>
      <c r="Z176">
        <v>1.27450052483237</v>
      </c>
      <c r="AA176">
        <v>1.25791802091558</v>
      </c>
      <c r="AB176">
        <v>1.24103866159168</v>
      </c>
      <c r="AC176">
        <v>1.22388488771467</v>
      </c>
      <c r="AD176">
        <v>1.20648005424894</v>
      </c>
      <c r="AE176">
        <v>1.18884833213676</v>
      </c>
      <c r="AF176">
        <v>1.17101459734429</v>
      </c>
      <c r="AG176">
        <v>1.15300430838221</v>
      </c>
      <c r="AH176">
        <v>1.13484337390501</v>
      </c>
      <c r="AI176">
        <v>1.11655801226567</v>
      </c>
      <c r="AJ176">
        <v>1.09817460512946</v>
      </c>
      <c r="AK176">
        <v>1.0797195474205</v>
      </c>
      <c r="AL176">
        <v>1.06121909598055</v>
      </c>
      <c r="AM176">
        <v>1.04269921935646</v>
      </c>
      <c r="AN176">
        <v>1.024185451098</v>
      </c>
      <c r="AO176">
        <v>1.00570274884482</v>
      </c>
      <c r="AP176">
        <v>0.987275361312901</v>
      </c>
      <c r="AQ176" s="3"/>
    </row>
    <row r="177" spans="1:43">
      <c r="A177" s="1">
        <f t="shared" si="5"/>
        <v>97</v>
      </c>
      <c r="B177">
        <v>1.54452999809389</v>
      </c>
      <c r="C177">
        <v>1.53901746008765</v>
      </c>
      <c r="D177">
        <v>1.53298214663222</v>
      </c>
      <c r="E177">
        <v>1.52642516220388</v>
      </c>
      <c r="F177">
        <v>1.51934792148403</v>
      </c>
      <c r="G177">
        <v>1.51175220141371</v>
      </c>
      <c r="H177">
        <v>1.5036401965235</v>
      </c>
      <c r="I177">
        <v>1.49501457718083</v>
      </c>
      <c r="J177">
        <v>1.48587855031915</v>
      </c>
      <c r="K177">
        <v>1.47623592212776</v>
      </c>
      <c r="L177">
        <v>1.46609116208932</v>
      </c>
      <c r="M177">
        <v>1.45544946765512</v>
      </c>
      <c r="N177">
        <v>1.44431682874897</v>
      </c>
      <c r="O177">
        <v>1.4327000911911</v>
      </c>
      <c r="P177">
        <v>1.42060701803743</v>
      </c>
      <c r="Q177">
        <v>1.40804634774122</v>
      </c>
      <c r="R177">
        <v>1.39502784796649</v>
      </c>
      <c r="S177">
        <v>1.38156236382266</v>
      </c>
      <c r="T177">
        <v>1.36766185925005</v>
      </c>
      <c r="U177">
        <v>1.35333945027352</v>
      </c>
      <c r="V177">
        <v>1.33860942885983</v>
      </c>
      <c r="W177">
        <v>1.32348727616826</v>
      </c>
      <c r="X177">
        <v>1.30798966407691</v>
      </c>
      <c r="Y177">
        <v>1.29213444400128</v>
      </c>
      <c r="Z177">
        <v>1.27594062219703</v>
      </c>
      <c r="AA177">
        <v>1.25942832095594</v>
      </c>
      <c r="AB177">
        <v>1.24261872535747</v>
      </c>
      <c r="AC177">
        <v>1.22553401552501</v>
      </c>
      <c r="AD177">
        <v>1.20819728464692</v>
      </c>
      <c r="AE177">
        <v>1.19063244334932</v>
      </c>
      <c r="AF177">
        <v>1.17286411133903</v>
      </c>
      <c r="AG177">
        <v>1.15491749755915</v>
      </c>
      <c r="AH177">
        <v>1.13681827040365</v>
      </c>
      <c r="AI177">
        <v>1.11859241980904</v>
      </c>
      <c r="AJ177">
        <v>1.10026611326811</v>
      </c>
      <c r="AK177">
        <v>1.08186554798381</v>
      </c>
      <c r="AL177">
        <v>1.06341680149219</v>
      </c>
      <c r="AM177">
        <v>1.04494568312677</v>
      </c>
      <c r="AN177">
        <v>1.02647758867119</v>
      </c>
      <c r="AO177">
        <v>1.00803736045309</v>
      </c>
      <c r="AP177">
        <v>0.989649154975096</v>
      </c>
      <c r="AQ177" s="3"/>
    </row>
    <row r="178" spans="1:43">
      <c r="A178" s="1">
        <f t="shared" si="5"/>
        <v>97.5</v>
      </c>
      <c r="B178">
        <v>1.544664635745</v>
      </c>
      <c r="C178">
        <v>1.53918031977785</v>
      </c>
      <c r="D178">
        <v>1.53317588211727</v>
      </c>
      <c r="E178">
        <v>1.52665241038454</v>
      </c>
      <c r="F178">
        <v>1.51961129769698</v>
      </c>
      <c r="G178">
        <v>1.51205429394913</v>
      </c>
      <c r="H178">
        <v>1.50398356032985</v>
      </c>
      <c r="I178">
        <v>1.49540172672612</v>
      </c>
      <c r="J178">
        <v>1.48631195158894</v>
      </c>
      <c r="K178">
        <v>1.47671798375285</v>
      </c>
      <c r="L178">
        <v>1.46662422561077</v>
      </c>
      <c r="M178">
        <v>1.4560357969516</v>
      </c>
      <c r="N178">
        <v>1.44495859867026</v>
      </c>
      <c r="O178">
        <v>1.4333993754626</v>
      </c>
      <c r="P178">
        <v>1.42136577652355</v>
      </c>
      <c r="Q178">
        <v>1.40886641317905</v>
      </c>
      <c r="R178">
        <v>1.39591091230657</v>
      </c>
      <c r="S178">
        <v>1.38250996433809</v>
      </c>
      <c r="T178">
        <v>1.36867536459991</v>
      </c>
      <c r="U178">
        <v>1.35442004672904</v>
      </c>
      <c r="V178">
        <v>1.33975810692217</v>
      </c>
      <c r="W178">
        <v>1.32470481782318</v>
      </c>
      <c r="X178">
        <v>1.30927663094358</v>
      </c>
      <c r="Y178">
        <v>1.29349116663835</v>
      </c>
      <c r="Z178">
        <v>1.27736719082877</v>
      </c>
      <c r="AA178">
        <v>1.26092457787272</v>
      </c>
      <c r="AB178">
        <v>1.24418425922909</v>
      </c>
      <c r="AC178">
        <v>1.22716815784073</v>
      </c>
      <c r="AD178">
        <v>1.20989910846369</v>
      </c>
      <c r="AE178">
        <v>1.19240076448954</v>
      </c>
      <c r="AF178">
        <v>1.17469749213241</v>
      </c>
      <c r="AG178">
        <v>1.15681425317123</v>
      </c>
      <c r="AH178">
        <v>1.13877647773758</v>
      </c>
      <c r="AI178">
        <v>1.12060992890972</v>
      </c>
      <c r="AJ178">
        <v>1.10234056110046</v>
      </c>
      <c r="AK178">
        <v>1.08399437440224</v>
      </c>
      <c r="AL178">
        <v>1.06559726716809</v>
      </c>
      <c r="AM178">
        <v>1.04717488915731</v>
      </c>
      <c r="AN178">
        <v>1.02875249755717</v>
      </c>
      <c r="AO178">
        <v>1.01035481810767</v>
      </c>
      <c r="AP178">
        <v>0.992005913409467</v>
      </c>
      <c r="AQ178" s="3"/>
    </row>
    <row r="179" spans="1:43">
      <c r="A179" s="1">
        <f t="shared" si="5"/>
        <v>98</v>
      </c>
      <c r="B179">
        <v>1.54479790047571</v>
      </c>
      <c r="C179">
        <v>1.53934151928661</v>
      </c>
      <c r="D179">
        <v>1.53336764349198</v>
      </c>
      <c r="E179">
        <v>1.52687734419909</v>
      </c>
      <c r="F179">
        <v>1.51987199339676</v>
      </c>
      <c r="G179">
        <v>1.51235331447842</v>
      </c>
      <c r="H179">
        <v>1.50432343596196</v>
      </c>
      <c r="I179">
        <v>1.49578494806604</v>
      </c>
      <c r="J179">
        <v>1.48674096172859</v>
      </c>
      <c r="K179">
        <v>1.47719516957141</v>
      </c>
      <c r="L179">
        <v>1.46715190822716</v>
      </c>
      <c r="M179">
        <v>1.45661622135243</v>
      </c>
      <c r="N179">
        <v>1.44559392255548</v>
      </c>
      <c r="O179">
        <v>1.43409165737128</v>
      </c>
      <c r="P179">
        <v>1.42211696332439</v>
      </c>
      <c r="Q179">
        <v>1.40967832703382</v>
      </c>
      <c r="R179">
        <v>1.39678523723869</v>
      </c>
      <c r="S179">
        <v>1.383448232563</v>
      </c>
      <c r="T179">
        <v>1.36967894279796</v>
      </c>
      <c r="U179">
        <v>1.35549012246362</v>
      </c>
      <c r="V179">
        <v>1.34089567542608</v>
      </c>
      <c r="W179">
        <v>1.32591066939251</v>
      </c>
      <c r="X179">
        <v>1.3105513391904</v>
      </c>
      <c r="Y179">
        <v>1.29483507785988</v>
      </c>
      <c r="Z179">
        <v>1.27878041475068</v>
      </c>
      <c r="AA179">
        <v>1.26240698001677</v>
      </c>
      <c r="AB179">
        <v>1.2457354551403</v>
      </c>
      <c r="AC179">
        <v>1.22878750938607</v>
      </c>
      <c r="AD179">
        <v>1.21158572238327</v>
      </c>
      <c r="AE179">
        <v>1.19415349334268</v>
      </c>
      <c r="AF179">
        <v>1.17651493773589</v>
      </c>
      <c r="AG179">
        <v>1.1586947725764</v>
      </c>
      <c r="AH179">
        <v>1.14071819173903</v>
      </c>
      <c r="AI179">
        <v>1.12261073302163</v>
      </c>
      <c r="AJ179">
        <v>1.10439813888093</v>
      </c>
      <c r="AK179">
        <v>1.08610621295195</v>
      </c>
      <c r="AL179">
        <v>1.06776067457997</v>
      </c>
      <c r="AM179">
        <v>1.04938701365053</v>
      </c>
      <c r="AN179">
        <v>1.03101034799306</v>
      </c>
      <c r="AO179">
        <v>1.01265528555884</v>
      </c>
      <c r="AP179">
        <v>0.994345793436513</v>
      </c>
      <c r="AQ179" s="3"/>
    </row>
    <row r="180" spans="1:43">
      <c r="A180" s="1">
        <f t="shared" si="5"/>
        <v>98.5</v>
      </c>
      <c r="B180">
        <v>1.54492981317463</v>
      </c>
      <c r="C180">
        <v>1.53950108386262</v>
      </c>
      <c r="D180">
        <v>1.53355746076298</v>
      </c>
      <c r="E180">
        <v>1.52709999880133</v>
      </c>
      <c r="F180">
        <v>1.5201300492627</v>
      </c>
      <c r="G180">
        <v>1.51264930957112</v>
      </c>
      <c r="H180">
        <v>1.50465987622751</v>
      </c>
      <c r="I180">
        <v>1.49616430057414</v>
      </c>
      <c r="J180">
        <v>1.48716564698118</v>
      </c>
      <c r="K180">
        <v>1.47766755297161</v>
      </c>
      <c r="L180">
        <v>1.46767429071461</v>
      </c>
      <c r="M180">
        <v>1.45719082922734</v>
      </c>
      <c r="N180">
        <v>1.44622289653157</v>
      </c>
      <c r="O180">
        <v>1.43477704091786</v>
      </c>
      <c r="P180">
        <v>1.42286069037932</v>
      </c>
      <c r="Q180">
        <v>1.41048220919189</v>
      </c>
      <c r="R180">
        <v>1.39765095054363</v>
      </c>
      <c r="S180">
        <v>1.38437730405533</v>
      </c>
      <c r="T180">
        <v>1.3706727369939</v>
      </c>
      <c r="U180">
        <v>1.35654982796281</v>
      </c>
      <c r="V180">
        <v>1.34202229186485</v>
      </c>
      <c r="W180">
        <v>1.32710499497651</v>
      </c>
      <c r="X180">
        <v>1.31181395905196</v>
      </c>
      <c r="Y180">
        <v>1.29616635349232</v>
      </c>
      <c r="Z180">
        <v>1.2801804747723</v>
      </c>
      <c r="AA180">
        <v>1.26387571251055</v>
      </c>
      <c r="AB180">
        <v>1.2472725018013</v>
      </c>
      <c r="AC180">
        <v>1.23039226168654</v>
      </c>
      <c r="AD180">
        <v>1.21325731993579</v>
      </c>
      <c r="AE180">
        <v>1.1958908246046</v>
      </c>
      <c r="AF180">
        <v>1.17831664315484</v>
      </c>
      <c r="AG180">
        <v>1.16055925022764</v>
      </c>
      <c r="AH180">
        <v>1.14264360545274</v>
      </c>
      <c r="AI180">
        <v>1.12459502294334</v>
      </c>
      <c r="AJ180">
        <v>1.10643903435348</v>
      </c>
      <c r="AK180">
        <v>1.08820124755417</v>
      </c>
      <c r="AL180">
        <v>1.06990720310848</v>
      </c>
      <c r="AM180">
        <v>1.05158223078765</v>
      </c>
      <c r="AN180">
        <v>1.03325130836826</v>
      </c>
      <c r="AO180">
        <v>1.014938924884</v>
      </c>
      <c r="AP180">
        <v>0.996668950377895</v>
      </c>
      <c r="AQ180" s="3"/>
    </row>
    <row r="181" spans="1:43">
      <c r="A181" s="1">
        <f t="shared" si="5"/>
        <v>99</v>
      </c>
      <c r="B181">
        <v>1.54506039430888</v>
      </c>
      <c r="C181">
        <v>1.53965903824533</v>
      </c>
      <c r="D181">
        <v>1.53374536333206</v>
      </c>
      <c r="E181">
        <v>1.52732040863712</v>
      </c>
      <c r="F181">
        <v>1.52038550515583</v>
      </c>
      <c r="G181">
        <v>1.51294232486125</v>
      </c>
      <c r="H181">
        <v>1.50499293287514</v>
      </c>
      <c r="I181">
        <v>1.49653984243562</v>
      </c>
      <c r="J181">
        <v>1.48758607226714</v>
      </c>
      <c r="K181">
        <v>1.47813520588039</v>
      </c>
      <c r="L181">
        <v>1.46819145224626</v>
      </c>
      <c r="M181">
        <v>1.45775970719914</v>
      </c>
      <c r="N181">
        <v>1.44684561483359</v>
      </c>
      <c r="O181">
        <v>1.43545562806665</v>
      </c>
      <c r="P181">
        <v>1.42359706744849</v>
      </c>
      <c r="Q181">
        <v>1.41127817722089</v>
      </c>
      <c r="R181">
        <v>1.39850817754901</v>
      </c>
      <c r="S181">
        <v>1.38529731179204</v>
      </c>
      <c r="T181">
        <v>1.37165688763717</v>
      </c>
      <c r="U181">
        <v>1.35759931090268</v>
      </c>
      <c r="V181">
        <v>1.34313811082497</v>
      </c>
      <c r="W181">
        <v>1.32828795568487</v>
      </c>
      <c r="X181">
        <v>1.31306465770353</v>
      </c>
      <c r="Y181">
        <v>1.29748516625049</v>
      </c>
      <c r="Z181">
        <v>1.28156754855681</v>
      </c>
      <c r="AA181">
        <v>1.26533095731398</v>
      </c>
      <c r="AB181">
        <v>1.24879558476274</v>
      </c>
      <c r="AC181">
        <v>1.2319826031306</v>
      </c>
      <c r="AD181">
        <v>1.2149140915563</v>
      </c>
      <c r="AE181">
        <v>1.1976129499372</v>
      </c>
      <c r="AF181">
        <v>1.18010280044031</v>
      </c>
      <c r="AG181">
        <v>1.16240787772065</v>
      </c>
      <c r="AH181">
        <v>1.14455290917933</v>
      </c>
      <c r="AI181">
        <v>1.12656298685703</v>
      </c>
      <c r="AJ181">
        <v>1.10846343278599</v>
      </c>
      <c r="AK181">
        <v>1.09027965980493</v>
      </c>
      <c r="AL181">
        <v>1.0720370299683</v>
      </c>
      <c r="AM181">
        <v>1.05376071274934</v>
      </c>
      <c r="AN181">
        <v>1.03547554524086</v>
      </c>
      <c r="AO181">
        <v>1.0172058965001</v>
      </c>
      <c r="AP181">
        <v>0.998975538065126</v>
      </c>
      <c r="AQ181" s="3"/>
    </row>
    <row r="182" spans="1:43">
      <c r="A182" s="1">
        <f t="shared" si="5"/>
        <v>99.5</v>
      </c>
      <c r="B182">
        <v>1.54518966393462</v>
      </c>
      <c r="C182">
        <v>1.53981540667773</v>
      </c>
      <c r="D182">
        <v>1.5339313800114</v>
      </c>
      <c r="E182">
        <v>1.52753860746216</v>
      </c>
      <c r="F182">
        <v>1.52063840013936</v>
      </c>
      <c r="G182">
        <v>1.51323240507072</v>
      </c>
      <c r="H182">
        <v>1.5053226566208</v>
      </c>
      <c r="I182">
        <v>1.49691163067688</v>
      </c>
      <c r="J182">
        <v>1.488002301217</v>
      </c>
      <c r="K182">
        <v>1.47859819879959</v>
      </c>
      <c r="L182">
        <v>1.4687034704317</v>
      </c>
      <c r="M182">
        <v>1.45832294018644</v>
      </c>
      <c r="N182">
        <v>1.44746216985079</v>
      </c>
      <c r="O182">
        <v>1.43612751879475</v>
      </c>
      <c r="P182">
        <v>1.42432620216512</v>
      </c>
      <c r="Q182">
        <v>1.41206634642505</v>
      </c>
      <c r="R182">
        <v>1.39935704118725</v>
      </c>
      <c r="S182">
        <v>1.38620838622955</v>
      </c>
      <c r="T182">
        <v>1.3726315325393</v>
      </c>
      <c r="U182">
        <v>1.35863871621392</v>
      </c>
      <c r="V182">
        <v>1.34424328405152</v>
      </c>
      <c r="W182">
        <v>1.32945970970288</v>
      </c>
      <c r="X182">
        <v>1.31430359932761</v>
      </c>
      <c r="Y182">
        <v>1.29879168580396</v>
      </c>
      <c r="Z182">
        <v>1.28294181068673</v>
      </c>
      <c r="AA182">
        <v>1.26677289328884</v>
      </c>
      <c r="AB182">
        <v>1.25030488647835</v>
      </c>
      <c r="AC182">
        <v>1.23355871902996</v>
      </c>
      <c r="AD182">
        <v>1.21655622464234</v>
      </c>
      <c r="AE182">
        <v>1.1993200580228</v>
      </c>
      <c r="AF182">
        <v>1.18187359873979</v>
      </c>
      <c r="AG182">
        <v>1.16424084384076</v>
      </c>
      <c r="AH182">
        <v>1.14644629051812</v>
      </c>
      <c r="AI182">
        <v>1.12851481036687</v>
      </c>
      <c r="AJ182">
        <v>1.11047151700421</v>
      </c>
      <c r="AK182">
        <v>1.09234162900452</v>
      </c>
      <c r="AL182">
        <v>1.07415033023325</v>
      </c>
      <c r="AM182">
        <v>1.05592262973645</v>
      </c>
      <c r="AN182">
        <v>1.03768322335423</v>
      </c>
      <c r="AO182">
        <v>1.01945635917626</v>
      </c>
      <c r="AP182">
        <v>1.0012657088485</v>
      </c>
      <c r="AQ182" s="3"/>
    </row>
    <row r="183" spans="1:43">
      <c r="A183" s="1">
        <f t="shared" si="5"/>
        <v>100</v>
      </c>
      <c r="B183">
        <v>1.54531764170731</v>
      </c>
      <c r="C183">
        <v>1.53997021291871</v>
      </c>
      <c r="D183">
        <v>1.53411553903824</v>
      </c>
      <c r="E183">
        <v>1.5277546283591</v>
      </c>
      <c r="F183">
        <v>1.5208887724985</v>
      </c>
      <c r="G183">
        <v>1.5135195940319</v>
      </c>
      <c r="H183">
        <v>1.50564909717339</v>
      </c>
      <c r="I183">
        <v>1.49727972119414</v>
      </c>
      <c r="J183">
        <v>1.48841439620321</v>
      </c>
      <c r="K183">
        <v>1.47905660084098</v>
      </c>
      <c r="L183">
        <v>1.46921042135524</v>
      </c>
      <c r="M183">
        <v>1.45888061144523</v>
      </c>
      <c r="N183">
        <v>1.44807265217135</v>
      </c>
      <c r="O183">
        <v>1.43679281113996</v>
      </c>
      <c r="P183">
        <v>1.42504820008646</v>
      </c>
      <c r="Q183">
        <v>1.41284682989887</v>
      </c>
      <c r="R183">
        <v>1.40019766205188</v>
      </c>
      <c r="S183">
        <v>1.38711065536234</v>
      </c>
      <c r="T183">
        <v>1.37359680693466</v>
      </c>
      <c r="U183">
        <v>1.35966818614426</v>
      </c>
      <c r="V183">
        <v>1.34533796051184</v>
      </c>
      <c r="W183">
        <v>1.33062041235598</v>
      </c>
      <c r="X183">
        <v>1.31553094517879</v>
      </c>
      <c r="Y183">
        <v>1.30008607884175</v>
      </c>
      <c r="Z183">
        <v>1.28430343272793</v>
      </c>
      <c r="AA183">
        <v>1.26820169626169</v>
      </c>
      <c r="AB183">
        <v>1.25180058636611</v>
      </c>
      <c r="AC183">
        <v>1.23512079167862</v>
      </c>
      <c r="AD183">
        <v>1.21818390361029</v>
      </c>
      <c r="AE183">
        <v>1.20101233461749</v>
      </c>
      <c r="AF183">
        <v>1.18362922434715</v>
      </c>
      <c r="AG183">
        <v>1.16605833460906</v>
      </c>
      <c r="AH183">
        <v>1.14832393440918</v>
      </c>
      <c r="AI183">
        <v>1.13045067653694</v>
      </c>
      <c r="AJ183">
        <v>1.11246346742532</v>
      </c>
      <c r="AK183">
        <v>1.09438733218675</v>
      </c>
      <c r="AL183">
        <v>1.07624727686115</v>
      </c>
      <c r="AM183">
        <v>1.05806814999073</v>
      </c>
      <c r="AN183">
        <v>1.03987450565359</v>
      </c>
      <c r="AO183">
        <v>1.02169047004652</v>
      </c>
      <c r="AP183">
        <v>1.00353961360622</v>
      </c>
      <c r="AQ183" s="3"/>
    </row>
    <row r="184" spans="1:43">
      <c r="A184" s="1">
        <f t="shared" si="5"/>
        <v>100.5</v>
      </c>
      <c r="B184">
        <v>1.54544434689171</v>
      </c>
      <c r="C184">
        <v>1.5401234802551</v>
      </c>
      <c r="D184">
        <v>1.53429786808915</v>
      </c>
      <c r="E184">
        <v>1.5279685037543</v>
      </c>
      <c r="F184">
        <v>1.52113665975973</v>
      </c>
      <c r="G184">
        <v>1.51380393470966</v>
      </c>
      <c r="H184">
        <v>1.50597230325954</v>
      </c>
      <c r="I184">
        <v>1.49764416878127</v>
      </c>
      <c r="J184">
        <v>1.48882241837098</v>
      </c>
      <c r="K184">
        <v>1.4795104797602</v>
      </c>
      <c r="L184">
        <v>1.46971237961308</v>
      </c>
      <c r="M184">
        <v>1.45943280260918</v>
      </c>
      <c r="N184">
        <v>1.44867715062583</v>
      </c>
      <c r="O184">
        <v>1.43745160124728</v>
      </c>
      <c r="P184">
        <v>1.42576316474319</v>
      </c>
      <c r="Q184">
        <v>1.41361973857939</v>
      </c>
      <c r="R184">
        <v>1.40103015845237</v>
      </c>
      <c r="S184">
        <v>1.38800424478011</v>
      </c>
      <c r="T184">
        <v>1.3745528435396</v>
      </c>
      <c r="U184">
        <v>1.36068786031919</v>
      </c>
      <c r="V184">
        <v>1.34642228645756</v>
      </c>
      <c r="W184">
        <v>1.33177021617261</v>
      </c>
      <c r="X184">
        <v>1.31674685364699</v>
      </c>
      <c r="Y184">
        <v>1.30136850913548</v>
      </c>
      <c r="Z184">
        <v>1.28565258329223</v>
      </c>
      <c r="AA184">
        <v>1.26961753908533</v>
      </c>
      <c r="AB184">
        <v>1.25328286086819</v>
      </c>
      <c r="AC184">
        <v>1.23666900041069</v>
      </c>
      <c r="AD184">
        <v>1.21979730995072</v>
      </c>
      <c r="AE184">
        <v>1.20268996260342</v>
      </c>
      <c r="AF184">
        <v>1.18536986075161</v>
      </c>
      <c r="AG184">
        <v>1.1678605333278</v>
      </c>
      <c r="AH184">
        <v>1.15018602317486</v>
      </c>
      <c r="AI184">
        <v>1.13237076592867</v>
      </c>
      <c r="AJ184">
        <v>1.11443946209125</v>
      </c>
      <c r="AK184">
        <v>1.09641694414795</v>
      </c>
      <c r="AL184">
        <v>1.07832804071868</v>
      </c>
      <c r="AM184">
        <v>1.06019743981543</v>
      </c>
      <c r="AN184">
        <v>1.04204955330275</v>
      </c>
      <c r="AO184">
        <v>1.02390838462269</v>
      </c>
      <c r="AP184">
        <v>1.00579740175376</v>
      </c>
      <c r="AQ184" s="3"/>
    </row>
    <row r="185" spans="1:43">
      <c r="A185" s="1">
        <f t="shared" si="5"/>
        <v>101</v>
      </c>
      <c r="B185">
        <v>1.54556979837149</v>
      </c>
      <c r="C185">
        <v>1.54027523151332</v>
      </c>
      <c r="D185">
        <v>1.53447839429383</v>
      </c>
      <c r="E185">
        <v>1.52818026543394</v>
      </c>
      <c r="F185">
        <v>1.52138209870947</v>
      </c>
      <c r="G185">
        <v>1.51408546922269</v>
      </c>
      <c r="H185">
        <v>1.50629232264778</v>
      </c>
      <c r="I185">
        <v>1.49800502715681</v>
      </c>
      <c r="J185">
        <v>1.4892264276683</v>
      </c>
      <c r="K185">
        <v>1.47995990198984</v>
      </c>
      <c r="L185">
        <v>1.47020941834936</v>
      </c>
      <c r="M185">
        <v>1.45997959372875</v>
      </c>
      <c r="N185">
        <v>1.44927575232936</v>
      </c>
      <c r="O185">
        <v>1.43810398341408</v>
      </c>
      <c r="P185">
        <v>1.42647119768747</v>
      </c>
      <c r="Q185">
        <v>1.41438518129692</v>
      </c>
      <c r="R185">
        <v>1.40185464646732</v>
      </c>
      <c r="S185">
        <v>1.38888927772325</v>
      </c>
      <c r="T185">
        <v>1.37549977260988</v>
      </c>
      <c r="U185">
        <v>1.36169787580111</v>
      </c>
      <c r="V185">
        <v>1.34749640548501</v>
      </c>
      <c r="W185">
        <v>1.33290927094543</v>
      </c>
      <c r="X185">
        <v>1.31795148031912</v>
      </c>
      <c r="Y185">
        <v>1.30263913760098</v>
      </c>
      <c r="Z185">
        <v>1.28698942809844</v>
      </c>
      <c r="AA185">
        <v>1.2710205916988</v>
      </c>
      <c r="AB185">
        <v>1.25475188350943</v>
      </c>
      <c r="AC185">
        <v>1.23820352165693</v>
      </c>
      <c r="AD185">
        <v>1.22139662228247</v>
      </c>
      <c r="AE185">
        <v>1.20435312204018</v>
      </c>
      <c r="AF185">
        <v>1.18709568868589</v>
      </c>
      <c r="AG185">
        <v>1.16964762062499</v>
      </c>
      <c r="AH185">
        <v>1.15203273656067</v>
      </c>
      <c r="AI185">
        <v>1.13427525663777</v>
      </c>
      <c r="AJ185">
        <v>1.11639967670146</v>
      </c>
      <c r="AK185">
        <v>1.09843063747574</v>
      </c>
      <c r="AL185">
        <v>1.08039279060595</v>
      </c>
      <c r="AM185">
        <v>1.06231066359596</v>
      </c>
      <c r="AN185">
        <v>1.04420852570074</v>
      </c>
      <c r="AO185">
        <v>1.02611025680741</v>
      </c>
      <c r="AP185">
        <v>1.00803922125336</v>
      </c>
      <c r="AQ185" s="3"/>
    </row>
    <row r="186" spans="1:43">
      <c r="A186" s="1">
        <f t="shared" si="5"/>
        <v>101.5</v>
      </c>
      <c r="B186">
        <v>1.54569401465862</v>
      </c>
      <c r="C186">
        <v>1.54042548907071</v>
      </c>
      <c r="D186">
        <v>1.53465714424863</v>
      </c>
      <c r="E186">
        <v>1.5283899445598</v>
      </c>
      <c r="F186">
        <v>1.52162512541226</v>
      </c>
      <c r="G186">
        <v>1.51436423886418</v>
      </c>
      <c r="H186">
        <v>1.50660920217188</v>
      </c>
      <c r="I186">
        <v>1.4983623489901</v>
      </c>
      <c r="J186">
        <v>1.48962648287497</v>
      </c>
      <c r="K186">
        <v>1.4804049326714</v>
      </c>
      <c r="L186">
        <v>1.47070160929121</v>
      </c>
      <c r="M186">
        <v>1.46052106330929</v>
      </c>
      <c r="N186">
        <v>1.44986854272266</v>
      </c>
      <c r="O186">
        <v>1.43875005013401</v>
      </c>
      <c r="P186">
        <v>1.42717239853963</v>
      </c>
      <c r="Q186">
        <v>1.41514326482433</v>
      </c>
      <c r="R186">
        <v>1.40267123999633</v>
      </c>
      <c r="S186">
        <v>1.38976587513689</v>
      </c>
      <c r="T186">
        <v>1.37643772199665</v>
      </c>
      <c r="U186">
        <v>1.36269836714693</v>
      </c>
      <c r="V186">
        <v>1.34856045859399</v>
      </c>
      <c r="W186">
        <v>1.33403772379103</v>
      </c>
      <c r="X186">
        <v>1.31914497803918</v>
      </c>
      <c r="Y186">
        <v>1.30389812235838</v>
      </c>
      <c r="Z186">
        <v>1.28831413003198</v>
      </c>
      <c r="AA186">
        <v>1.27241102118609</v>
      </c>
      <c r="AB186">
        <v>1.25620782495459</v>
      </c>
      <c r="AC186">
        <v>1.23972452900013</v>
      </c>
      <c r="AD186">
        <v>1.22298201640573</v>
      </c>
      <c r="AE186">
        <v>1.20600199021506</v>
      </c>
      <c r="AF186">
        <v>1.18880688617348</v>
      </c>
      <c r="AG186">
        <v>1.17141977449831</v>
      </c>
      <c r="AH186">
        <v>1.1538642517755</v>
      </c>
      <c r="AI186">
        <v>1.13616432433065</v>
      </c>
      <c r="AJ186">
        <v>1.11834428464551</v>
      </c>
      <c r="AK186">
        <v>1.10042858257748</v>
      </c>
      <c r="AL186">
        <v>1.08244169328104</v>
      </c>
      <c r="AM186">
        <v>1.0644079838204</v>
      </c>
      <c r="AN186">
        <v>1.04635158049864</v>
      </c>
      <c r="AO186">
        <v>1.02829623890723</v>
      </c>
      <c r="AP186">
        <v>1.01026521862377</v>
      </c>
      <c r="AQ186" s="3"/>
    </row>
    <row r="187" spans="1:43">
      <c r="A187" s="1">
        <f t="shared" si="5"/>
        <v>102</v>
      </c>
      <c r="B187">
        <v>1.54581701390247</v>
      </c>
      <c r="C187">
        <v>1.54057427486654</v>
      </c>
      <c r="D187">
        <v>1.5348341440295</v>
      </c>
      <c r="E187">
        <v>1.52859757168444</v>
      </c>
      <c r="F187">
        <v>1.52186577522833</v>
      </c>
      <c r="G187">
        <v>1.51464028412196</v>
      </c>
      <c r="H187">
        <v>1.50692298775363</v>
      </c>
      <c r="I187">
        <v>1.49871618592679</v>
      </c>
      <c r="J187">
        <v>1.4900226416309</v>
      </c>
      <c r="K187">
        <v>1.4808456356865</v>
      </c>
      <c r="L187">
        <v>1.47118902278281</v>
      </c>
      <c r="M187">
        <v>1.46105728834796</v>
      </c>
      <c r="N187">
        <v>1.45045560561186</v>
      </c>
      <c r="O187">
        <v>1.43938989213964</v>
      </c>
      <c r="P187">
        <v>1.42786686503355</v>
      </c>
      <c r="Q187">
        <v>1.4158940939251</v>
      </c>
      <c r="R187">
        <v>1.40348005081031</v>
      </c>
      <c r="S187">
        <v>1.3906341557234</v>
      </c>
      <c r="T187">
        <v>1.37736681720091</v>
      </c>
      <c r="U187">
        <v>1.36368946646406</v>
      </c>
      <c r="V187">
        <v>1.34961458424514</v>
      </c>
      <c r="W187">
        <v>1.33515571920809</v>
      </c>
      <c r="X187">
        <v>1.3203274969669</v>
      </c>
      <c r="Y187">
        <v>1.30514561879076</v>
      </c>
      <c r="Z187">
        <v>1.2896268492031</v>
      </c>
      <c r="AA187">
        <v>1.27378899183343</v>
      </c>
      <c r="AB187">
        <v>1.25765085306436</v>
      </c>
      <c r="AC187">
        <v>1.24123219322928</v>
      </c>
      <c r="AD187">
        <v>1.22455366535401</v>
      </c>
      <c r="AE187">
        <v>1.20763674169251</v>
      </c>
      <c r="AF187">
        <v>1.19050362857504</v>
      </c>
      <c r="AG187">
        <v>1.17317717035825</v>
      </c>
      <c r="AH187">
        <v>1.15568074353134</v>
      </c>
      <c r="AI187">
        <v>1.1380381422804</v>
      </c>
      <c r="AJ187">
        <v>1.12027345703511</v>
      </c>
      <c r="AK187">
        <v>1.10241094770852</v>
      </c>
      <c r="AL187">
        <v>1.08447491348429</v>
      </c>
      <c r="AM187">
        <v>1.06648956110005</v>
      </c>
      <c r="AN187">
        <v>1.04847887361628</v>
      </c>
      <c r="AO187">
        <v>1.0304664816458</v>
      </c>
      <c r="AP187">
        <v>1.01247553895007</v>
      </c>
      <c r="AQ187" s="3"/>
    </row>
    <row r="188" spans="1:43">
      <c r="A188" s="1">
        <f t="shared" si="5"/>
        <v>102.5</v>
      </c>
      <c r="B188">
        <v>1.54593881389866</v>
      </c>
      <c r="C188">
        <v>1.5407216104126</v>
      </c>
      <c r="D188">
        <v>1.53500941920471</v>
      </c>
      <c r="E188">
        <v>1.52880317676607</v>
      </c>
      <c r="F188">
        <v>1.52210408283068</v>
      </c>
      <c r="G188">
        <v>1.51491364469801</v>
      </c>
      <c r="H188">
        <v>1.50723372442485</v>
      </c>
      <c r="I188">
        <v>1.49906658861355</v>
      </c>
      <c r="J188">
        <v>1.49041496046354</v>
      </c>
      <c r="K188">
        <v>1.48128207368707</v>
      </c>
      <c r="L188">
        <v>1.47167172781841</v>
      </c>
      <c r="M188">
        <v>1.4615883443696</v>
      </c>
      <c r="N188">
        <v>1.4510370232072</v>
      </c>
      <c r="O188">
        <v>1.44002359844393</v>
      </c>
      <c r="P188">
        <v>1.42855469306081</v>
      </c>
      <c r="Q188">
        <v>1.41663777139991</v>
      </c>
      <c r="R188">
        <v>1.40428118860052</v>
      </c>
      <c r="S188">
        <v>1.39149423599358</v>
      </c>
      <c r="T188">
        <v>1.37828718142649</v>
      </c>
      <c r="U188">
        <v>1.36467130346503</v>
      </c>
      <c r="V188">
        <v>1.35065891841569</v>
      </c>
      <c r="W188">
        <v>1.33626339913407</v>
      </c>
      <c r="X188">
        <v>1.32149918463494</v>
      </c>
      <c r="Y188">
        <v>1.30638177960137</v>
      </c>
      <c r="Z188">
        <v>1.29092774300372</v>
      </c>
      <c r="AA188">
        <v>1.27515466518534</v>
      </c>
      <c r="AB188">
        <v>1.25908113295007</v>
      </c>
      <c r="AC188">
        <v>1.24272668239263</v>
      </c>
      <c r="AD188">
        <v>1.22611173944507</v>
      </c>
      <c r="AE188">
        <v>1.2092575483625</v>
      </c>
      <c r="AF188">
        <v>1.19218608863402</v>
      </c>
      <c r="AG188">
        <v>1.17491998107058</v>
      </c>
      <c r="AH188">
        <v>1.15748238408224</v>
      </c>
      <c r="AI188">
        <v>1.13989688140221</v>
      </c>
      <c r="AJ188">
        <v>1.12218736273594</v>
      </c>
      <c r="AK188">
        <v>1.10437789900016</v>
      </c>
      <c r="AL188">
        <v>1.08649261396252</v>
      </c>
      <c r="AM188">
        <v>1.06855555418982</v>
      </c>
      <c r="AN188">
        <v>1.05059055925908</v>
      </c>
      <c r="AO188">
        <v>1.03262113417727</v>
      </c>
      <c r="AP188">
        <v>1.01467032589373</v>
      </c>
      <c r="AQ188" s="3"/>
    </row>
    <row r="189" spans="1:43">
      <c r="A189" s="1">
        <f t="shared" si="5"/>
        <v>103</v>
      </c>
      <c r="B189">
        <v>1.54605943209762</v>
      </c>
      <c r="C189">
        <v>1.54086751680365</v>
      </c>
      <c r="D189">
        <v>1.5351829948471</v>
      </c>
      <c r="E189">
        <v>1.52900678918289</v>
      </c>
      <c r="F189">
        <v>1.52234008222176</v>
      </c>
      <c r="G189">
        <v>1.51518435952738</v>
      </c>
      <c r="H189">
        <v>1.50754145634885</v>
      </c>
      <c r="I189">
        <v>1.49941360672201</v>
      </c>
      <c r="J189">
        <v>1.49080349481452</v>
      </c>
      <c r="K189">
        <v>1.48171430812471</v>
      </c>
      <c r="L189">
        <v>1.47214979207446</v>
      </c>
      <c r="M189">
        <v>1.46211430546166</v>
      </c>
      <c r="N189">
        <v>1.45161287616067</v>
      </c>
      <c r="O189">
        <v>1.44065125638057</v>
      </c>
      <c r="P189">
        <v>1.42923597671354</v>
      </c>
      <c r="Q189">
        <v>1.41737439813203</v>
      </c>
      <c r="R189">
        <v>1.4050747610262</v>
      </c>
      <c r="S189">
        <v>1.39234623031637</v>
      </c>
      <c r="T189">
        <v>1.37919893563169</v>
      </c>
      <c r="U189">
        <v>1.36564400552063</v>
      </c>
      <c r="V189">
        <v>1.35169359465392</v>
      </c>
      <c r="W189">
        <v>1.33736090300049</v>
      </c>
      <c r="X189">
        <v>1.32266018600456</v>
      </c>
      <c r="Y189">
        <v>1.30760675486947</v>
      </c>
      <c r="Z189">
        <v>1.29221696616292</v>
      </c>
      <c r="AA189">
        <v>1.27650820009934</v>
      </c>
      <c r="AB189">
        <v>1.26049882702724</v>
      </c>
      <c r="AC189">
        <v>1.24420816184959</v>
      </c>
      <c r="AD189">
        <v>1.2276564063308</v>
      </c>
      <c r="AE189">
        <v>1.21086457948804</v>
      </c>
      <c r="AF189">
        <v>1.19385443652137</v>
      </c>
      <c r="AG189">
        <v>1.17664837699803</v>
      </c>
      <c r="AH189">
        <v>1.15926934326282</v>
      </c>
      <c r="AI189">
        <v>1.14174071028839</v>
      </c>
      <c r="AJ189">
        <v>1.12408616839894</v>
      </c>
      <c r="AK189">
        <v>1.10632960048735</v>
      </c>
      <c r="AL189">
        <v>1.08849495549298</v>
      </c>
      <c r="AM189">
        <v>1.07060612000857</v>
      </c>
      <c r="AN189">
        <v>1.05268678993484</v>
      </c>
      <c r="AO189">
        <v>1.03476034409954</v>
      </c>
      <c r="AP189">
        <v>1.01684972170272</v>
      </c>
      <c r="AQ189" s="3"/>
    </row>
    <row r="190" spans="1:43">
      <c r="A190" s="1">
        <f t="shared" si="5"/>
        <v>103.5</v>
      </c>
      <c r="B190">
        <v>1.54617888561289</v>
      </c>
      <c r="C190">
        <v>1.5410120147274</v>
      </c>
      <c r="D190">
        <v>1.53535489554606</v>
      </c>
      <c r="E190">
        <v>1.52920843774705</v>
      </c>
      <c r="F190">
        <v>1.52257380674948</v>
      </c>
      <c r="G190">
        <v>1.51545246679666</v>
      </c>
      <c r="H190">
        <v>1.50784622684123</v>
      </c>
      <c r="I190">
        <v>1.49975728897213</v>
      </c>
      <c r="J190">
        <v>1.49118829906554</v>
      </c>
      <c r="K190">
        <v>1.48214239927923</v>
      </c>
      <c r="L190">
        <v>1.47262328194085</v>
      </c>
      <c r="M190">
        <v>1.46263524430806</v>
      </c>
      <c r="N190">
        <v>1.45218324360258</v>
      </c>
      <c r="O190">
        <v>1.4412729516431</v>
      </c>
      <c r="P190">
        <v>1.4299108083262</v>
      </c>
      <c r="Q190">
        <v>1.41810407313144</v>
      </c>
      <c r="R190">
        <v>1.40586087376096</v>
      </c>
      <c r="S190">
        <v>1.39319025096727</v>
      </c>
      <c r="T190">
        <v>1.38010219857944</v>
      </c>
      <c r="U190">
        <v>1.36660769771171</v>
      </c>
      <c r="V190">
        <v>1.35271874413211</v>
      </c>
      <c r="W190">
        <v>1.33844836778679</v>
      </c>
      <c r="X190">
        <v>1.32381064352011</v>
      </c>
      <c r="Y190">
        <v>1.30882069210485</v>
      </c>
      <c r="Z190">
        <v>1.29349467080117</v>
      </c>
      <c r="AA190">
        <v>1.27784975279943</v>
      </c>
      <c r="AB190">
        <v>1.26190409506795</v>
      </c>
      <c r="AC190">
        <v>1.24567679432158</v>
      </c>
      <c r="AD190">
        <v>1.22918783104616</v>
      </c>
      <c r="AE190">
        <v>1.21245800175179</v>
      </c>
      <c r="AF190">
        <v>1.19550883987953</v>
      </c>
      <c r="AG190">
        <v>1.17836252604138</v>
      </c>
      <c r="AH190">
        <v>1.16104178852611</v>
      </c>
      <c r="AI190">
        <v>1.14356979524283</v>
      </c>
      <c r="AJ190">
        <v>1.12597003849138</v>
      </c>
      <c r="AK190">
        <v>1.10826621413607</v>
      </c>
      <c r="AL190">
        <v>1.09048209690719</v>
      </c>
      <c r="AM190">
        <v>1.0726414136594</v>
      </c>
      <c r="AN190">
        <v>1.05476771647048</v>
      </c>
      <c r="AO190">
        <v>1.03688425746782</v>
      </c>
      <c r="AP190">
        <v>1.01901386722184</v>
      </c>
      <c r="AQ190" s="3"/>
    </row>
    <row r="191" spans="1:43">
      <c r="A191" s="1">
        <f t="shared" si="5"/>
        <v>104</v>
      </c>
      <c r="B191">
        <v>1.54629719122926</v>
      </c>
      <c r="C191">
        <v>1.54115512447431</v>
      </c>
      <c r="D191">
        <v>1.53552514541906</v>
      </c>
      <c r="E191">
        <v>1.52940815071822</v>
      </c>
      <c r="F191">
        <v>1.52280528912298</v>
      </c>
      <c r="G191">
        <v>1.5157180039618</v>
      </c>
      <c r="H191">
        <v>1.50814807839009</v>
      </c>
      <c r="I191">
        <v>1.5000976831548</v>
      </c>
      <c r="J191">
        <v>1.49156942656354</v>
      </c>
      <c r="K191">
        <v>1.48256640628638</v>
      </c>
      <c r="L191">
        <v>1.47309226255118</v>
      </c>
      <c r="M191">
        <v>1.46315123222214</v>
      </c>
      <c r="N191">
        <v>1.45274820317706</v>
      </c>
      <c r="O191">
        <v>1.44188876832306</v>
      </c>
      <c r="P191">
        <v>1.43057927851609</v>
      </c>
      <c r="Q191">
        <v>1.41882689357774</v>
      </c>
      <c r="R191">
        <v>1.4066396305379</v>
      </c>
      <c r="S191">
        <v>1.39402640817551</v>
      </c>
      <c r="T191">
        <v>1.38099708688631</v>
      </c>
      <c r="U191">
        <v>1.36756250287955</v>
      </c>
      <c r="V191">
        <v>1.35373449569819</v>
      </c>
      <c r="W191">
        <v>1.33952592807286</v>
      </c>
      <c r="X191">
        <v>1.32495069716201</v>
      </c>
      <c r="Y191">
        <v>1.31002373630098</v>
      </c>
      <c r="Z191">
        <v>1.29476100648327</v>
      </c>
      <c r="AA191">
        <v>1.27917947692844</v>
      </c>
      <c r="AB191">
        <v>1.26329709425205</v>
      </c>
      <c r="AC191">
        <v>1.24713273994176</v>
      </c>
      <c r="AD191">
        <v>1.230706176057</v>
      </c>
      <c r="AE191">
        <v>1.21403797930171</v>
      </c>
      <c r="AF191">
        <v>1.19714946386559</v>
      </c>
      <c r="AG191">
        <v>1.18006259367971</v>
      </c>
      <c r="AH191">
        <v>1.1627998849808</v>
      </c>
      <c r="AI191">
        <v>1.14538430031502</v>
      </c>
      <c r="AJ191">
        <v>1.12783913532743</v>
      </c>
      <c r="AK191">
        <v>1.11018789987051</v>
      </c>
      <c r="AL191">
        <v>1.09245419511457</v>
      </c>
      <c r="AM191">
        <v>1.07466158844979</v>
      </c>
      <c r="AN191">
        <v>1.05683348802885</v>
      </c>
      <c r="AO191">
        <v>1.03899301880806</v>
      </c>
      <c r="AP191">
        <v>1.02116290190307</v>
      </c>
      <c r="AQ191" s="3"/>
    </row>
    <row r="192" spans="1:43">
      <c r="A192" s="1">
        <f t="shared" si="5"/>
        <v>104.5</v>
      </c>
      <c r="B192">
        <v>1.54641436541059</v>
      </c>
      <c r="C192">
        <v>1.5412968659471</v>
      </c>
      <c r="D192">
        <v>1.53569376812298</v>
      </c>
      <c r="E192">
        <v>1.52960595581675</v>
      </c>
      <c r="F192">
        <v>1.52303456142776</v>
      </c>
      <c r="G192">
        <v>1.51598100776555</v>
      </c>
      <c r="H192">
        <v>1.5084470526757</v>
      </c>
      <c r="I192">
        <v>1.50043483615389</v>
      </c>
      <c r="J192">
        <v>1.49194692964514</v>
      </c>
      <c r="K192">
        <v>1.4829863871648</v>
      </c>
      <c r="L192">
        <v>1.4735567978123</v>
      </c>
      <c r="M192">
        <v>1.46366233917871</v>
      </c>
      <c r="N192">
        <v>1.45330783107668</v>
      </c>
      <c r="O192">
        <v>1.44249878894702</v>
      </c>
      <c r="P192">
        <v>1.43124147622282</v>
      </c>
      <c r="Q192">
        <v>1.41954295486191</v>
      </c>
      <c r="R192">
        <v>1.40741113319351</v>
      </c>
      <c r="S192">
        <v>1.39485481016989</v>
      </c>
      <c r="T192">
        <v>1.38188371507003</v>
      </c>
      <c r="U192">
        <v>1.36850854167501</v>
      </c>
      <c r="V192">
        <v>1.35474097592604</v>
      </c>
      <c r="W192">
        <v>1.34059371609024</v>
      </c>
      <c r="X192">
        <v>1.32608048449851</v>
      </c>
      <c r="Y192">
        <v>1.31121602998699</v>
      </c>
      <c r="Z192">
        <v>1.29601612027003</v>
      </c>
      <c r="AA192">
        <v>1.28049752359904</v>
      </c>
      <c r="AB192">
        <v>1.26467797921725</v>
      </c>
      <c r="AC192">
        <v>1.24857615630373</v>
      </c>
      <c r="AD192">
        <v>1.23221160130706</v>
      </c>
      <c r="AE192">
        <v>1.2156046737959</v>
      </c>
      <c r="AF192">
        <v>1.19877647119363</v>
      </c>
      <c r="AG192">
        <v>1.18174874301013</v>
      </c>
      <c r="AH192">
        <v>1.16454379542794</v>
      </c>
      <c r="AI192">
        <v>1.14718438733359</v>
      </c>
      <c r="AJ192">
        <v>1.1296936190984</v>
      </c>
      <c r="AK192">
        <v>1.11209481559994</v>
      </c>
      <c r="AL192">
        <v>1.09441140512593</v>
      </c>
      <c r="AM192">
        <v>1.07666679591167</v>
      </c>
      <c r="AN192">
        <v>1.05888425212549</v>
      </c>
      <c r="AO192">
        <v>1.04108677113054</v>
      </c>
      <c r="AP192">
        <v>1.02329696381614</v>
      </c>
      <c r="AQ192" s="3"/>
    </row>
    <row r="193" spans="1:43">
      <c r="A193" s="1">
        <f t="shared" si="5"/>
        <v>105</v>
      </c>
      <c r="B193">
        <v>1.54653042430748</v>
      </c>
      <c r="C193">
        <v>1.54143725866992</v>
      </c>
      <c r="D193">
        <v>1.53586078686501</v>
      </c>
      <c r="E193">
        <v>1.52980188023651</v>
      </c>
      <c r="F193">
        <v>1.5232616551405</v>
      </c>
      <c r="G193">
        <v>1.51624151425426</v>
      </c>
      <c r="H193">
        <v>1.50874319058952</v>
      </c>
      <c r="I193">
        <v>1.50076879396758</v>
      </c>
      <c r="J193">
        <v>1.49232085966037</v>
      </c>
      <c r="K193">
        <v>1.48340239884218</v>
      </c>
      <c r="L193">
        <v>1.47401695043293</v>
      </c>
      <c r="M193">
        <v>1.46416863384516</v>
      </c>
      <c r="N193">
        <v>1.45386220207603</v>
      </c>
      <c r="O193">
        <v>1.44310309451258</v>
      </c>
      <c r="P193">
        <v>1.43189748874673</v>
      </c>
      <c r="Q193">
        <v>1.42025235062697</v>
      </c>
      <c r="R193">
        <v>1.40817548171042</v>
      </c>
      <c r="S193">
        <v>1.39567556322344</v>
      </c>
      <c r="T193">
        <v>1.38276219559595</v>
      </c>
      <c r="U193">
        <v>1.3694459326064</v>
      </c>
      <c r="V193">
        <v>1.35573830916459</v>
      </c>
      <c r="W193">
        <v>1.34165186177207</v>
      </c>
      <c r="X193">
        <v>1.32720014073619</v>
      </c>
      <c r="Y193">
        <v>1.31239771327829</v>
      </c>
      <c r="Z193">
        <v>1.2972601567688</v>
      </c>
      <c r="AA193">
        <v>1.28180404144373</v>
      </c>
      <c r="AB193">
        <v>1.26604690210813</v>
      </c>
      <c r="AC193">
        <v>1.2500071985092</v>
      </c>
      <c r="AD193">
        <v>1.23370426426393</v>
      </c>
      <c r="AE193">
        <v>1.21715824444657</v>
      </c>
      <c r="AF193">
        <v>1.20039002217637</v>
      </c>
      <c r="AG193">
        <v>1.18342113478671</v>
      </c>
      <c r="AH193">
        <v>1.16627368039707</v>
      </c>
      <c r="AI193">
        <v>1.14897021593938</v>
      </c>
      <c r="AJ193">
        <v>1.13153364790263</v>
      </c>
      <c r="AK193">
        <v>1.11398711724524</v>
      </c>
      <c r="AL193">
        <v>1.09635388007667</v>
      </c>
      <c r="AM193">
        <v>1.0786571858214</v>
      </c>
      <c r="AN193">
        <v>1.06092015464529</v>
      </c>
      <c r="AO193">
        <v>1.04316565594343</v>
      </c>
      <c r="AP193">
        <v>1.02541618965907</v>
      </c>
      <c r="AQ193" s="3"/>
    </row>
    <row r="194" spans="1:43">
      <c r="A194" s="1">
        <f t="shared" si="5"/>
        <v>105.5</v>
      </c>
      <c r="B194">
        <v>1.54664538376461</v>
      </c>
      <c r="C194">
        <v>1.54157632179731</v>
      </c>
      <c r="D194">
        <v>1.53602622441328</v>
      </c>
      <c r="E194">
        <v>1.52999595065724</v>
      </c>
      <c r="F194">
        <v>1.5234866011434</v>
      </c>
      <c r="G194">
        <v>1.51649955879435</v>
      </c>
      <c r="H194">
        <v>1.50903653225281</v>
      </c>
      <c r="I194">
        <v>1.50109960172919</v>
      </c>
      <c r="J194">
        <v>1.4926912669958</v>
      </c>
      <c r="K194">
        <v>1.48381449718073</v>
      </c>
      <c r="L194">
        <v>1.4744727819515</v>
      </c>
      <c r="M194">
        <v>1.46467018361173</v>
      </c>
      <c r="N194">
        <v>1.45441138956436</v>
      </c>
      <c r="O194">
        <v>1.44370176452349</v>
      </c>
      <c r="P194">
        <v>1.43254740178617</v>
      </c>
      <c r="Q194">
        <v>1.42095517280746</v>
      </c>
      <c r="R194">
        <v>1.40893277425897</v>
      </c>
      <c r="S194">
        <v>1.39648877169694</v>
      </c>
      <c r="T194">
        <v>1.3836326389222</v>
      </c>
      <c r="U194">
        <v>1.37037479208607</v>
      </c>
      <c r="V194">
        <v>1.35672661758561</v>
      </c>
      <c r="W194">
        <v>1.34270049280179</v>
      </c>
      <c r="X194">
        <v>1.32830979876921</v>
      </c>
      <c r="Y194">
        <v>1.31356892392609</v>
      </c>
      <c r="Z194">
        <v>1.29849325818276</v>
      </c>
      <c r="AA194">
        <v>1.28309917666366</v>
      </c>
      <c r="AB194">
        <v>1.26740401262404</v>
      </c>
      <c r="AC194">
        <v>1.25142601921469</v>
      </c>
      <c r="AD194">
        <v>1.23518431996411</v>
      </c>
      <c r="AE194">
        <v>1.2186988480631</v>
      </c>
      <c r="AF194">
        <v>1.20199027476596</v>
      </c>
      <c r="AG194">
        <v>1.18507992745883</v>
      </c>
      <c r="AH194">
        <v>1.16798969818173</v>
      </c>
      <c r="AI194">
        <v>1.150741943618</v>
      </c>
      <c r="AJ194">
        <v>1.13335937777499</v>
      </c>
      <c r="AK194">
        <v>1.11586495876526</v>
      </c>
      <c r="AL194">
        <v>1.09828177124991</v>
      </c>
      <c r="AM194">
        <v>1.08063290621958</v>
      </c>
      <c r="AN194">
        <v>1.06294133985925</v>
      </c>
      <c r="AO194">
        <v>1.04522981326642</v>
      </c>
      <c r="AP194">
        <v>1.02752071476892</v>
      </c>
      <c r="AQ194" s="3"/>
    </row>
    <row r="195" spans="1:43">
      <c r="A195" s="1">
        <f t="shared" si="5"/>
        <v>106</v>
      </c>
      <c r="B195">
        <v>1.54675925932803</v>
      </c>
      <c r="C195">
        <v>1.54171407412296</v>
      </c>
      <c r="D195">
        <v>1.53619010310721</v>
      </c>
      <c r="E195">
        <v>1.53018819325673</v>
      </c>
      <c r="F195">
        <v>1.52370942973816</v>
      </c>
      <c r="G195">
        <v>1.51675517608822</v>
      </c>
      <c r="H195">
        <v>1.50932711703465</v>
      </c>
      <c r="I195">
        <v>1.50142730372734</v>
      </c>
      <c r="J195">
        <v>1.49305820109696</v>
      </c>
      <c r="K195">
        <v>1.48422273700194</v>
      </c>
      <c r="L195">
        <v>1.4749243527633</v>
      </c>
      <c r="M195">
        <v>1.46516705462099</v>
      </c>
      <c r="N195">
        <v>1.45495546557744</v>
      </c>
      <c r="O195">
        <v>1.44429487702364</v>
      </c>
      <c r="P195">
        <v>1.43319129947389</v>
      </c>
      <c r="Q195">
        <v>1.42165151166795</v>
      </c>
      <c r="R195">
        <v>1.40968310723773</v>
      </c>
      <c r="S195">
        <v>1.39729453808124</v>
      </c>
      <c r="T195">
        <v>1.38449515354364</v>
      </c>
      <c r="U195">
        <v>1.37129523447589</v>
      </c>
      <c r="V195">
        <v>1.35770602123027</v>
      </c>
      <c r="W195">
        <v>1.34373973466061</v>
      </c>
      <c r="X195">
        <v>1.32940958922737</v>
      </c>
      <c r="Y195">
        <v>1.31472979736567</v>
      </c>
      <c r="Z195">
        <v>1.29971556435916</v>
      </c>
      <c r="AA195">
        <v>1.28438307307631</v>
      </c>
      <c r="AB195">
        <v>1.26874945806602</v>
      </c>
      <c r="AC195">
        <v>1.25283276867718</v>
      </c>
      <c r="AD195">
        <v>1.23665192105716</v>
      </c>
      <c r="AE195">
        <v>1.22022663909437</v>
      </c>
      <c r="AF195">
        <v>1.20357738459415</v>
      </c>
      <c r="AG195">
        <v>1.18672527720881</v>
      </c>
      <c r="AH195">
        <v>1.16969200487451</v>
      </c>
      <c r="AI195">
        <v>1.15249972573198</v>
      </c>
      <c r="AJ195">
        <v>1.13517096271594</v>
      </c>
      <c r="AK195">
        <v>1.11772849218279</v>
      </c>
      <c r="AL195">
        <v>1.10019522809931</v>
      </c>
      <c r="AM195">
        <v>1.0825941034308</v>
      </c>
      <c r="AN195">
        <v>1.06494795044104</v>
      </c>
      <c r="AO195">
        <v>1.04727938164438</v>
      </c>
      <c r="AP195">
        <v>1.02961067313253</v>
      </c>
      <c r="AQ195" s="3"/>
    </row>
    <row r="196" spans="1:43">
      <c r="A196" s="1">
        <f t="shared" si="5"/>
        <v>106.5</v>
      </c>
      <c r="B196">
        <v>1.54687206625213</v>
      </c>
      <c r="C196">
        <v>1.54185053408809</v>
      </c>
      <c r="D196">
        <v>1.53635244486753</v>
      </c>
      <c r="E196">
        <v>1.53037863372249</v>
      </c>
      <c r="F196">
        <v>1.52393017065954</v>
      </c>
      <c r="G196">
        <v>1.51700840018975</v>
      </c>
      <c r="H196">
        <v>1.50961498356942</v>
      </c>
      <c r="I196">
        <v>1.50175194342562</v>
      </c>
      <c r="J196">
        <v>1.49342171049016</v>
      </c>
      <c r="K196">
        <v>1.48462717211063</v>
      </c>
      <c r="L196">
        <v>1.47537172214676</v>
      </c>
      <c r="M196">
        <v>1.46565931179643</v>
      </c>
      <c r="N196">
        <v>1.4554945008284</v>
      </c>
      <c r="O196">
        <v>1.44488250863032</v>
      </c>
      <c r="P196">
        <v>1.43382926441236</v>
      </c>
      <c r="Q196">
        <v>1.42234145584051</v>
      </c>
      <c r="R196">
        <v>1.41042657531289</v>
      </c>
      <c r="S196">
        <v>1.3980929630385</v>
      </c>
      <c r="T196">
        <v>1.38534984603481</v>
      </c>
      <c r="U196">
        <v>1.37220737213148</v>
      </c>
      <c r="V196">
        <v>1.35867663805467</v>
      </c>
      <c r="W196">
        <v>1.34476971067384</v>
      </c>
      <c r="X196">
        <v>1.33049964052304</v>
      </c>
      <c r="Y196">
        <v>1.31588046676355</v>
      </c>
      <c r="Z196">
        <v>1.30092721283638</v>
      </c>
      <c r="AA196">
        <v>1.2856558721622</v>
      </c>
      <c r="AB196">
        <v>1.27008338338264</v>
      </c>
      <c r="AC196">
        <v>1.25422759479887</v>
      </c>
      <c r="AD196">
        <v>1.23810721784895</v>
      </c>
      <c r="AE196">
        <v>1.22174176967019</v>
      </c>
      <c r="AF196">
        <v>1.20515150501165</v>
      </c>
      <c r="AG196">
        <v>1.18835733798896</v>
      </c>
      <c r="AH196">
        <v>1.17138075440141</v>
      </c>
      <c r="AI196">
        <v>1.15424371555243</v>
      </c>
      <c r="AJ196">
        <v>1.13696855472034</v>
      </c>
      <c r="AK196">
        <v>1.11957786761033</v>
      </c>
      <c r="AL196">
        <v>1.10209439827179</v>
      </c>
      <c r="AM196">
        <v>1.08454092208327</v>
      </c>
      <c r="AN196">
        <v>1.06694012748365</v>
      </c>
      <c r="AO196">
        <v>1.04931449816098</v>
      </c>
      <c r="AP196">
        <v>1.03168619739739</v>
      </c>
      <c r="AQ196" s="3"/>
    </row>
    <row r="197" spans="1:43">
      <c r="A197" s="1">
        <f t="shared" ref="A197:A243" si="6">A196+0.5</f>
        <v>107</v>
      </c>
      <c r="B197">
        <v>1.54698381950641</v>
      </c>
      <c r="C197">
        <v>1.54198571978971</v>
      </c>
      <c r="D197">
        <v>1.53651327120604</v>
      </c>
      <c r="E197">
        <v>1.5305672972632</v>
      </c>
      <c r="F197">
        <v>1.52414885308855</v>
      </c>
      <c r="G197">
        <v>1.51725926451937</v>
      </c>
      <c r="H197">
        <v>1.50990016977387</v>
      </c>
      <c r="I197">
        <v>1.50207356348164</v>
      </c>
      <c r="J197">
        <v>1.49378184280373</v>
      </c>
      <c r="K197">
        <v>1.48502785531833</v>
      </c>
      <c r="L197">
        <v>1.47581494828909</v>
      </c>
      <c r="M197">
        <v>1.46614701887034</v>
      </c>
      <c r="N197">
        <v>1.45602856473787</v>
      </c>
      <c r="O197">
        <v>1.44546473456644</v>
      </c>
      <c r="P197">
        <v>1.43446137770817</v>
      </c>
      <c r="Q197">
        <v>1.42302509236109</v>
      </c>
      <c r="R197">
        <v>1.41116327145669</v>
      </c>
      <c r="S197">
        <v>1.39888414544236</v>
      </c>
      <c r="T197">
        <v>1.38619682109162</v>
      </c>
      <c r="U197">
        <v>1.37311131544539</v>
      </c>
      <c r="V197">
        <v>1.35963858397404</v>
      </c>
      <c r="W197">
        <v>1.34579054205607</v>
      </c>
      <c r="X197">
        <v>1.33158007889687</v>
      </c>
      <c r="Y197">
        <v>1.31702106306355</v>
      </c>
      <c r="Z197">
        <v>1.30212833888988</v>
      </c>
      <c r="AA197">
        <v>1.28691771311041</v>
      </c>
      <c r="AB197">
        <v>1.27140593121487</v>
      </c>
      <c r="AC197">
        <v>1.25561064317097</v>
      </c>
      <c r="AD197">
        <v>1.23955035834408</v>
      </c>
      <c r="AE197">
        <v>1.22324438964201</v>
      </c>
      <c r="AF197">
        <v>1.20671278712677</v>
      </c>
      <c r="AG197">
        <v>1.18997626155795</v>
      </c>
      <c r="AH197">
        <v>1.1730560985558</v>
      </c>
      <c r="AI197">
        <v>1.15597406429022</v>
      </c>
      <c r="AJ197">
        <v>1.13875230380579</v>
      </c>
      <c r="AK197">
        <v>1.12141323327549</v>
      </c>
      <c r="AL197">
        <v>1.10397942762995</v>
      </c>
      <c r="AM197">
        <v>1.08647350512824</v>
      </c>
      <c r="AN197">
        <v>1.06891801051589</v>
      </c>
      <c r="AO197">
        <v>1.05133529845238</v>
      </c>
      <c r="AP197">
        <v>1.03374741888253</v>
      </c>
      <c r="AQ197" s="3"/>
    </row>
    <row r="198" spans="1:43">
      <c r="A198" s="1">
        <f t="shared" si="6"/>
        <v>107.5</v>
      </c>
      <c r="B198">
        <v>1.54709453378217</v>
      </c>
      <c r="C198">
        <v>1.54211964898863</v>
      </c>
      <c r="D198">
        <v>1.53667260323512</v>
      </c>
      <c r="E198">
        <v>1.53075420861982</v>
      </c>
      <c r="F198">
        <v>1.52436550566523</v>
      </c>
      <c r="G198">
        <v>1.5175078018787</v>
      </c>
      <c r="H198">
        <v>1.5101827128637</v>
      </c>
      <c r="I198">
        <v>1.50239220576565</v>
      </c>
      <c r="J198">
        <v>1.49413864478862</v>
      </c>
      <c r="K198">
        <v>1.48542483846609</v>
      </c>
      <c r="L198">
        <v>1.4762540883112</v>
      </c>
      <c r="M198">
        <v>1.46663023841087</v>
      </c>
      <c r="N198">
        <v>1.4565577254632</v>
      </c>
      <c r="O198">
        <v>1.44604162869193</v>
      </c>
      <c r="P198">
        <v>1.43508771900555</v>
      </c>
      <c r="Q198">
        <v>1.42370250670511</v>
      </c>
      <c r="R198">
        <v>1.41189328698474</v>
      </c>
      <c r="S198">
        <v>1.39966818241706</v>
      </c>
      <c r="T198">
        <v>1.3870361815721</v>
      </c>
      <c r="U198">
        <v>1.37400717288915</v>
      </c>
      <c r="V198">
        <v>1.36059197290601</v>
      </c>
      <c r="W198">
        <v>1.34680234795525</v>
      </c>
      <c r="X198">
        <v>1.33265102846251</v>
      </c>
      <c r="Y198">
        <v>1.31815171503174</v>
      </c>
      <c r="Z198">
        <v>1.30331907557723</v>
      </c>
      <c r="AA198">
        <v>1.28816873286324</v>
      </c>
      <c r="AB198">
        <v>1.27271724193998</v>
      </c>
      <c r="AC198">
        <v>1.25698205711655</v>
      </c>
      <c r="AD198">
        <v>1.24098148828738</v>
      </c>
      <c r="AE198">
        <v>1.22473464662275</v>
      </c>
      <c r="AF198">
        <v>1.20826137984338</v>
      </c>
      <c r="AG198">
        <v>1.1915821975166</v>
      </c>
      <c r="AH198">
        <v>1.17471818703172</v>
      </c>
      <c r="AI198">
        <v>1.15769092112678</v>
      </c>
      <c r="AJ198">
        <v>1.14052235804064</v>
      </c>
      <c r="AK198">
        <v>1.1232347355462</v>
      </c>
      <c r="AL198">
        <v>1.10585046027433</v>
      </c>
      <c r="AM198">
        <v>1.08839199385938</v>
      </c>
      <c r="AN198">
        <v>1.07088173751886</v>
      </c>
      <c r="AO198">
        <v>1.05334191672086</v>
      </c>
      <c r="AP198">
        <v>1.03579446758951</v>
      </c>
      <c r="AQ198" s="3"/>
    </row>
    <row r="199" spans="1:43">
      <c r="A199" s="1">
        <f t="shared" si="6"/>
        <v>108</v>
      </c>
      <c r="B199">
        <v>1.54720422349887</v>
      </c>
      <c r="C199">
        <v>1.54225233911717</v>
      </c>
      <c r="D199">
        <v>1.53683046167693</v>
      </c>
      <c r="E199">
        <v>1.53093939207637</v>
      </c>
      <c r="F199">
        <v>1.5245801565012</v>
      </c>
      <c r="G199">
        <v>1.51775404446481</v>
      </c>
      <c r="H199">
        <v>1.51046264936962</v>
      </c>
      <c r="I199">
        <v>1.50270791137854</v>
      </c>
      <c r="J199">
        <v>1.49449216233853</v>
      </c>
      <c r="K199">
        <v>1.48581817244657</v>
      </c>
      <c r="L199">
        <v>1.47668919829194</v>
      </c>
      <c r="M199">
        <v>1.46710903184843</v>
      </c>
      <c r="N199">
        <v>1.45708204992697</v>
      </c>
      <c r="O199">
        <v>1.44661326353433</v>
      </c>
      <c r="P199">
        <v>1.43570836651896</v>
      </c>
      <c r="Q199">
        <v>1.42437378282192</v>
      </c>
      <c r="R199">
        <v>1.41261671159247</v>
      </c>
      <c r="S199">
        <v>1.40044516937555</v>
      </c>
      <c r="T199">
        <v>1.38786802853602</v>
      </c>
      <c r="U199">
        <v>1.37489505105429</v>
      </c>
      <c r="V199">
        <v>1.36153691681271</v>
      </c>
      <c r="W199">
        <v>1.3478052454957</v>
      </c>
      <c r="X199">
        <v>1.3337126112502</v>
      </c>
      <c r="Y199">
        <v>1.31927254930034</v>
      </c>
      <c r="Z199">
        <v>1.3044995537819</v>
      </c>
      <c r="AA199">
        <v>1.28940906615976</v>
      </c>
      <c r="AB199">
        <v>1.2740174537145</v>
      </c>
      <c r="AC199">
        <v>1.25834197773259</v>
      </c>
      <c r="AD199">
        <v>1.24240075120464</v>
      </c>
      <c r="AE199">
        <v>1.22621268602599</v>
      </c>
      <c r="AF199">
        <v>1.20979742989819</v>
      </c>
      <c r="AG199">
        <v>1.19317529334298</v>
      </c>
      <c r="AH199">
        <v>1.17636716745673</v>
      </c>
      <c r="AI199">
        <v>1.15939443324433</v>
      </c>
      <c r="AJ199">
        <v>1.14227886357162</v>
      </c>
      <c r="AK199">
        <v>1.12504251895552</v>
      </c>
      <c r="AL199">
        <v>1.10770763856551</v>
      </c>
      <c r="AM199">
        <v>1.09029652793202</v>
      </c>
      <c r="AN199">
        <v>1.07283144494235</v>
      </c>
      <c r="AO199">
        <v>1.05533448574852</v>
      </c>
      <c r="AP199">
        <v>1.0378274722134</v>
      </c>
      <c r="AQ199" s="3"/>
    </row>
    <row r="200" spans="1:43">
      <c r="A200" s="1">
        <f t="shared" si="6"/>
        <v>108.5</v>
      </c>
      <c r="B200">
        <v>1.54731290281045</v>
      </c>
      <c r="C200">
        <v>1.54238380728679</v>
      </c>
      <c r="D200">
        <v>1.53698686687239</v>
      </c>
      <c r="E200">
        <v>1.5311228714704</v>
      </c>
      <c r="F200">
        <v>1.52479283319171</v>
      </c>
      <c r="G200">
        <v>1.51799802388403</v>
      </c>
      <c r="H200">
        <v>1.51074001515306</v>
      </c>
      <c r="I200">
        <v>1.50302072066946</v>
      </c>
      <c r="J200">
        <v>1.49484244050936</v>
      </c>
      <c r="K200">
        <v>1.48620790722559</v>
      </c>
      <c r="L200">
        <v>1.47712033329168</v>
      </c>
      <c r="M200">
        <v>1.46758345950133</v>
      </c>
      <c r="N200">
        <v>1.45760160384468</v>
      </c>
      <c r="O200">
        <v>1.44717971031855</v>
      </c>
      <c r="P200">
        <v>1.43632339706478</v>
      </c>
      <c r="Q200">
        <v>1.42503900316851</v>
      </c>
      <c r="R200">
        <v>1.41333363339054</v>
      </c>
      <c r="S200">
        <v>1.40121520005661</v>
      </c>
      <c r="T200">
        <v>1.38869246128354</v>
      </c>
      <c r="U200">
        <v>1.37577505469229</v>
      </c>
      <c r="V200">
        <v>1.36247352574185</v>
      </c>
      <c r="W200">
        <v>1.34879934982004</v>
      </c>
      <c r="X200">
        <v>1.33476494724934</v>
      </c>
      <c r="Y200">
        <v>1.32038369041061</v>
      </c>
      <c r="Z200">
        <v>1.30566990225629</v>
      </c>
      <c r="AA200">
        <v>1.29063884557843</v>
      </c>
      <c r="AB200">
        <v>1.27530670251621</v>
      </c>
      <c r="AC200">
        <v>1.25969054393101</v>
      </c>
      <c r="AD200">
        <v>1.24380828844247</v>
      </c>
      <c r="AE200">
        <v>1.2276786511043</v>
      </c>
      <c r="AF200">
        <v>1.21132108189732</v>
      </c>
      <c r="AG200">
        <v>1.19475569442703</v>
      </c>
      <c r="AH200">
        <v>1.17800318542418</v>
      </c>
      <c r="AI200">
        <v>1.16108474585579</v>
      </c>
      <c r="AJ200">
        <v>1.14402196465111</v>
      </c>
      <c r="AK200">
        <v>1.1268367262263</v>
      </c>
      <c r="AL200">
        <v>1.10955110314588</v>
      </c>
      <c r="AM200">
        <v>1.09218724538216</v>
      </c>
      <c r="AN200">
        <v>1.07476726772118</v>
      </c>
      <c r="AO200">
        <v>1.05731313691089</v>
      </c>
      <c r="AP200">
        <v>1.03984656015386</v>
      </c>
      <c r="AQ200" s="3"/>
    </row>
    <row r="201" spans="1:43">
      <c r="A201" s="1">
        <f t="shared" si="6"/>
        <v>109</v>
      </c>
      <c r="B201">
        <v>1.54742058561136</v>
      </c>
      <c r="C201">
        <v>1.54251407029538</v>
      </c>
      <c r="D201">
        <v>1.5371418387899</v>
      </c>
      <c r="E201">
        <v>1.53130467020323</v>
      </c>
      <c r="F201">
        <v>1.52500356282746</v>
      </c>
      <c r="G201">
        <v>1.51823977116547</v>
      </c>
      <c r="H201">
        <v>1.51101484542139</v>
      </c>
      <c r="I201">
        <v>1.50333067325285</v>
      </c>
      <c r="J201">
        <v>1.49518952353824</v>
      </c>
      <c r="K201">
        <v>1.4865940918631</v>
      </c>
      <c r="L201">
        <v>1.47754754737525</v>
      </c>
      <c r="M201">
        <v>1.46805358060071</v>
      </c>
      <c r="N201">
        <v>1.45811645175171</v>
      </c>
      <c r="O201">
        <v>1.44774103899577</v>
      </c>
      <c r="P201">
        <v>1.43693288609231</v>
      </c>
      <c r="Q201">
        <v>1.42569824874225</v>
      </c>
      <c r="R201">
        <v>1.41404413893943</v>
      </c>
      <c r="S201">
        <v>1.40197836656105</v>
      </c>
      <c r="T201">
        <v>1.38950957739287</v>
      </c>
      <c r="U201">
        <v>1.37664728675355</v>
      </c>
      <c r="V201">
        <v>1.3634019078668</v>
      </c>
      <c r="W201">
        <v>1.34978477413013</v>
      </c>
      <c r="X201">
        <v>1.33580815444998</v>
      </c>
      <c r="Y201">
        <v>1.32148526085474</v>
      </c>
      <c r="Z201">
        <v>1.30683024766356</v>
      </c>
      <c r="AA201">
        <v>1.29185820157879</v>
      </c>
      <c r="AB201">
        <v>1.2765851221853</v>
      </c>
      <c r="AC201">
        <v>1.26102789247895</v>
      </c>
      <c r="AD201">
        <v>1.24520423920743</v>
      </c>
      <c r="AE201">
        <v>1.22913268298687</v>
      </c>
      <c r="AF201">
        <v>1.21283247835222</v>
      </c>
      <c r="AG201">
        <v>1.19632354410443</v>
      </c>
      <c r="AH201">
        <v>1.17962638452497</v>
      </c>
      <c r="AI201">
        <v>1.16276200223416</v>
      </c>
      <c r="AJ201">
        <v>1.14575180366407</v>
      </c>
      <c r="AK201">
        <v>1.12861749829541</v>
      </c>
      <c r="AL201">
        <v>1.11138099296129</v>
      </c>
      <c r="AM201">
        <v>1.09406428264543</v>
      </c>
      <c r="AN201">
        <v>1.07668933929141</v>
      </c>
      <c r="AO201">
        <v>1.05927800019053</v>
      </c>
      <c r="AP201">
        <v>1.04185185752622</v>
      </c>
      <c r="AQ201" s="3"/>
    </row>
    <row r="202" spans="1:43">
      <c r="A202" s="1">
        <f t="shared" si="6"/>
        <v>109.5</v>
      </c>
      <c r="B202">
        <v>1.5475272855425</v>
      </c>
      <c r="C202">
        <v>1.54264314463442</v>
      </c>
      <c r="D202">
        <v>1.53729539703383</v>
      </c>
      <c r="E202">
        <v>1.53148481124989</v>
      </c>
      <c r="F202">
        <v>1.52521237200609</v>
      </c>
      <c r="G202">
        <v>1.5184793167741</v>
      </c>
      <c r="H202">
        <v>1.51128717474276</v>
      </c>
      <c r="I202">
        <v>1.50363780802508</v>
      </c>
      <c r="J202">
        <v>1.49553345486201</v>
      </c>
      <c r="K202">
        <v>1.48697677453353</v>
      </c>
      <c r="L202">
        <v>1.4779708936343</v>
      </c>
      <c r="M202">
        <v>1.46851945331487</v>
      </c>
      <c r="N202">
        <v>1.45862665702961</v>
      </c>
      <c r="O202">
        <v>1.44829731827172</v>
      </c>
      <c r="P202">
        <v>1.43753690771374</v>
      </c>
      <c r="Q202">
        <v>1.42635159911283</v>
      </c>
      <c r="R202">
        <v>1.41474831328303</v>
      </c>
      <c r="S202">
        <v>1.40273475938696</v>
      </c>
      <c r="T202">
        <v>1.39031947275701</v>
      </c>
      <c r="U202">
        <v>1.37751184842542</v>
      </c>
      <c r="V202">
        <v>1.36432216952565</v>
      </c>
      <c r="W202">
        <v>1.35076162972704</v>
      </c>
      <c r="X202">
        <v>1.33684234888346</v>
      </c>
      <c r="Y202">
        <v>1.32257738111675</v>
      </c>
      <c r="Z202">
        <v>1.30798071461866</v>
      </c>
      <c r="AA202">
        <v>1.29306726254221</v>
      </c>
      <c r="AB202">
        <v>1.27785284446455</v>
      </c>
      <c r="AC202">
        <v>1.26235415803821</v>
      </c>
      <c r="AD202">
        <v>1.24658874060429</v>
      </c>
      <c r="AE202">
        <v>1.23057492071646</v>
      </c>
      <c r="AF202">
        <v>1.21433175971494</v>
      </c>
      <c r="AG202">
        <v>1.19787898369002</v>
      </c>
      <c r="AH202">
        <v>1.18123690637886</v>
      </c>
      <c r="AI202">
        <v>1.1644263437415</v>
      </c>
      <c r="AJ202">
        <v>1.14746852115455</v>
      </c>
      <c r="AK202">
        <v>1.13038497433777</v>
      </c>
      <c r="AL202">
        <v>1.11319744528248</v>
      </c>
      <c r="AM202">
        <v>1.09592777457587</v>
      </c>
      <c r="AN202">
        <v>1.07859779160654</v>
      </c>
      <c r="AO202">
        <v>1.06122920419069</v>
      </c>
      <c r="AP202">
        <v>1.04384348917258</v>
      </c>
      <c r="AQ202" s="3"/>
    </row>
    <row r="203" spans="1:43">
      <c r="A203" s="1">
        <f t="shared" si="6"/>
        <v>110</v>
      </c>
      <c r="B203">
        <v>1.54763301599701</v>
      </c>
      <c r="C203">
        <v>1.54277104649597</v>
      </c>
      <c r="D203">
        <v>1.53744756085279</v>
      </c>
      <c r="E203">
        <v>1.53166331716873</v>
      </c>
      <c r="F203">
        <v>1.5254192868433</v>
      </c>
      <c r="G203">
        <v>1.51871669062351</v>
      </c>
      <c r="H203">
        <v>1.5115570370605</v>
      </c>
      <c r="I203">
        <v>1.50394216318063</v>
      </c>
      <c r="J203">
        <v>1.49587427713522</v>
      </c>
      <c r="K203">
        <v>1.48735600254568</v>
      </c>
      <c r="L203">
        <v>1.47839042420901</v>
      </c>
      <c r="M203">
        <v>1.4689811347729</v>
      </c>
      <c r="N203">
        <v>1.45913228193167</v>
      </c>
      <c r="O203">
        <v>1.44884861563405</v>
      </c>
      <c r="P203">
        <v>1.43813553473357</v>
      </c>
      <c r="Q203">
        <v>1.42699913245331</v>
      </c>
      <c r="R203">
        <v>1.41544623998146</v>
      </c>
      <c r="S203">
        <v>1.40348446746404</v>
      </c>
      <c r="T203">
        <v>1.39112224161952</v>
      </c>
      <c r="U203">
        <v>1.37836883916921</v>
      </c>
      <c r="V203">
        <v>1.36523441525937</v>
      </c>
      <c r="W203">
        <v>1.35173002604999</v>
      </c>
      <c r="X203">
        <v>1.33786764466197</v>
      </c>
      <c r="Y203">
        <v>1.32366016971246</v>
      </c>
      <c r="Z203">
        <v>1.30912142572835</v>
      </c>
      <c r="AA203">
        <v>1.29426615481173</v>
      </c>
      <c r="AB203">
        <v>1.27910999903873</v>
      </c>
      <c r="AC203">
        <v>1.2636694732038</v>
      </c>
      <c r="AD203">
        <v>1.24796192767356</v>
      </c>
      <c r="AE203">
        <v>1.23200550128556</v>
      </c>
      <c r="AF203">
        <v>1.2158190644127</v>
      </c>
      <c r="AG203">
        <v>1.19942215251058</v>
      </c>
      <c r="AH203">
        <v>1.18283489066517</v>
      </c>
      <c r="AI203">
        <v>1.16607790985749</v>
      </c>
      <c r="AJ203">
        <v>1.14917225585189</v>
      </c>
      <c r="AK203">
        <v>1.13213929179008</v>
      </c>
      <c r="AL203">
        <v>1.11500059572623</v>
      </c>
      <c r="AM203">
        <v>1.09777785446454</v>
      </c>
      <c r="AN203">
        <v>1.08049275515358</v>
      </c>
      <c r="AO203">
        <v>1.06316687614882</v>
      </c>
      <c r="AP203">
        <v>1.04582157867298</v>
      </c>
      <c r="AQ203" s="3"/>
    </row>
    <row r="204" spans="1:43">
      <c r="A204" s="1">
        <f t="shared" si="6"/>
        <v>110.5</v>
      </c>
      <c r="B204">
        <v>1.54773779012579</v>
      </c>
      <c r="C204">
        <v>1.54289779177938</v>
      </c>
      <c r="D204">
        <v>1.53759834914761</v>
      </c>
      <c r="E204">
        <v>1.53184021011085</v>
      </c>
      <c r="F204">
        <v>1.52562433298374</v>
      </c>
      <c r="G204">
        <v>1.51895192208832</v>
      </c>
      <c r="H204">
        <v>1.5118244657072</v>
      </c>
      <c r="I204">
        <v>1.50424377622785</v>
      </c>
      <c r="J204">
        <v>1.49621203224757</v>
      </c>
      <c r="K204">
        <v>1.48773182236198</v>
      </c>
      <c r="L204">
        <v>1.47880619030926</v>
      </c>
      <c r="M204">
        <v>1.46943868108774</v>
      </c>
      <c r="N204">
        <v>1.45963338760775</v>
      </c>
      <c r="O204">
        <v>1.44939499737914</v>
      </c>
      <c r="P204">
        <v>1.43872883867704</v>
      </c>
      <c r="Q204">
        <v>1.42764092557042</v>
      </c>
      <c r="R204">
        <v>1.41613800114299</v>
      </c>
      <c r="S204">
        <v>1.4042275781871</v>
      </c>
      <c r="T204">
        <v>1.39191797660943</v>
      </c>
      <c r="U204">
        <v>1.37921835675639</v>
      </c>
      <c r="V204">
        <v>1.36613874784901</v>
      </c>
      <c r="W204">
        <v>1.35269007071444</v>
      </c>
      <c r="X204">
        <v>1.3388841540172</v>
      </c>
      <c r="Y204">
        <v>1.32473374322851</v>
      </c>
      <c r="Z204">
        <v>1.31025250163037</v>
      </c>
      <c r="AA204">
        <v>1.29545500273104</v>
      </c>
      <c r="AB204">
        <v>1.28035671357314</v>
      </c>
      <c r="AC204">
        <v>1.26497396854176</v>
      </c>
      <c r="AD204">
        <v>1.24932393342833</v>
      </c>
      <c r="AE204">
        <v>1.23342455967194</v>
      </c>
      <c r="AF204">
        <v>1.21729452888195</v>
      </c>
      <c r="AG204">
        <v>1.20095318793705</v>
      </c>
      <c r="AH204">
        <v>1.18442047515307</v>
      </c>
      <c r="AI204">
        <v>1.16771683820752</v>
      </c>
      <c r="AJ204">
        <v>1.15086314469657</v>
      </c>
      <c r="AK204">
        <v>1.13388058637426</v>
      </c>
      <c r="AL204">
        <v>1.11679057827636</v>
      </c>
      <c r="AM204">
        <v>1.09961465405802</v>
      </c>
      <c r="AN204">
        <v>1.08237435896899</v>
      </c>
      <c r="AO204">
        <v>1.06509114195013</v>
      </c>
      <c r="AP204">
        <v>1.04778624835649</v>
      </c>
      <c r="AQ204" s="3"/>
    </row>
    <row r="205" spans="1:43">
      <c r="A205" s="1">
        <f t="shared" si="6"/>
        <v>111</v>
      </c>
      <c r="B205">
        <v>1.54784162084304</v>
      </c>
      <c r="C205">
        <v>1.54302339609791</v>
      </c>
      <c r="D205">
        <v>1.53774778047922</v>
      </c>
      <c r="E205">
        <v>1.53201551182927</v>
      </c>
      <c r="F205">
        <v>1.52582753561156</v>
      </c>
      <c r="G205">
        <v>1.51918504001623</v>
      </c>
      <c r="H205">
        <v>1.5120894934183</v>
      </c>
      <c r="I205">
        <v>1.5045426840042</v>
      </c>
      <c r="J205">
        <v>1.496546761341</v>
      </c>
      <c r="K205">
        <v>1.48810427961734</v>
      </c>
      <c r="L205">
        <v>1.4792182422352</v>
      </c>
      <c r="M205">
        <v>1.46989214737852</v>
      </c>
      <c r="N205">
        <v>1.46013003412857</v>
      </c>
      <c r="O205">
        <v>1.44993652863807</v>
      </c>
      <c r="P205">
        <v>1.43931688981804</v>
      </c>
      <c r="Q205">
        <v>1.4282770539341</v>
      </c>
      <c r="R205">
        <v>1.41682367745519</v>
      </c>
      <c r="S205">
        <v>1.40496417744874</v>
      </c>
      <c r="T205">
        <v>1.39270676877523</v>
      </c>
      <c r="U205">
        <v>1.38006049730379</v>
      </c>
      <c r="V205">
        <v>1.36703526835197</v>
      </c>
      <c r="W205">
        <v>1.35364186954923</v>
      </c>
      <c r="X205">
        <v>1.33989198733813</v>
      </c>
      <c r="Y205">
        <v>1.32579821636051</v>
      </c>
      <c r="Z205">
        <v>1.31137406103168</v>
      </c>
      <c r="AA205">
        <v>1.29663392868261</v>
      </c>
      <c r="AB205">
        <v>1.28159311375125</v>
      </c>
      <c r="AC205">
        <v>1.26626777262618</v>
      </c>
      <c r="AD205">
        <v>1.25067488889027</v>
      </c>
      <c r="AE205">
        <v>1.23483222887345</v>
      </c>
      <c r="AF205">
        <v>1.21875828760164</v>
      </c>
      <c r="AG205">
        <v>1.20247222541617</v>
      </c>
      <c r="AH205">
        <v>1.18599379573134</v>
      </c>
      <c r="AI205">
        <v>1.1693432645904</v>
      </c>
      <c r="AJ205">
        <v>1.15254132286565</v>
      </c>
      <c r="AK205">
        <v>1.13560899212059</v>
      </c>
      <c r="AL205">
        <v>1.11856752530449</v>
      </c>
      <c r="AM205">
        <v>1.10143830357672</v>
      </c>
      <c r="AN205">
        <v>1.08424273065466</v>
      </c>
      <c r="AO205">
        <v>1.06700212614105</v>
      </c>
      <c r="AP205">
        <v>1.04973761931244</v>
      </c>
      <c r="AQ205" s="3"/>
    </row>
    <row r="206" spans="1:43">
      <c r="A206" s="1">
        <f t="shared" si="6"/>
        <v>111.5</v>
      </c>
      <c r="B206">
        <v>1.54794452083149</v>
      </c>
      <c r="C206">
        <v>1.54314787478511</v>
      </c>
      <c r="D206">
        <v>1.53789587307621</v>
      </c>
      <c r="E206">
        <v>1.53218924368776</v>
      </c>
      <c r="F206">
        <v>1.52602891946071</v>
      </c>
      <c r="G206">
        <v>1.51941607273981</v>
      </c>
      <c r="H206">
        <v>1.51235215234547</v>
      </c>
      <c r="I206">
        <v>1.50483892269124</v>
      </c>
      <c r="J206">
        <v>1.49687850482626</v>
      </c>
      <c r="K206">
        <v>1.4884734191374</v>
      </c>
      <c r="L206">
        <v>1.47962662939736</v>
      </c>
      <c r="M206">
        <v>1.47034158779247</v>
      </c>
      <c r="N206">
        <v>1.46062228050928</v>
      </c>
      <c r="O206">
        <v>1.45047327340204</v>
      </c>
      <c r="P206">
        <v>1.43989975720611</v>
      </c>
      <c r="Q206">
        <v>1.4289075917062</v>
      </c>
      <c r="R206">
        <v>1.41750334821524</v>
      </c>
      <c r="S206">
        <v>1.40569434967111</v>
      </c>
      <c r="T206">
        <v>1.39348870761809</v>
      </c>
      <c r="U206">
        <v>1.380895355308</v>
      </c>
      <c r="V206">
        <v>1.36792407613742</v>
      </c>
      <c r="W206">
        <v>1.35458552663278</v>
      </c>
      <c r="X206">
        <v>1.34089125320789</v>
      </c>
      <c r="Y206">
        <v>1.3268537019503</v>
      </c>
      <c r="Z206">
        <v>1.31248622074586</v>
      </c>
      <c r="AA206">
        <v>1.29780305312496</v>
      </c>
      <c r="AB206">
        <v>1.28281932331167</v>
      </c>
      <c r="AC206">
        <v>1.26755101207542</v>
      </c>
      <c r="AD206">
        <v>1.25201492312498</v>
      </c>
      <c r="AE206">
        <v>1.23622863994219</v>
      </c>
      <c r="AF206">
        <v>1.22021047312605</v>
      </c>
      <c r="AG206">
        <v>1.20397939850165</v>
      </c>
      <c r="AH206">
        <v>1.18755498643763</v>
      </c>
      <c r="AI206">
        <v>1.17095732300562</v>
      </c>
      <c r="AJ206">
        <v>1.15420692379793</v>
      </c>
      <c r="AK206">
        <v>1.13732464139059</v>
      </c>
      <c r="AL206">
        <v>1.12033156759053</v>
      </c>
      <c r="AM206">
        <v>1.10324893173304</v>
      </c>
      <c r="AN206">
        <v>1.0860979963936</v>
      </c>
      <c r="AO206">
        <v>1.06889995194275</v>
      </c>
      <c r="AP206">
        <v>1.05167581140154</v>
      </c>
      <c r="AQ206" s="3"/>
    </row>
    <row r="207" spans="1:43">
      <c r="A207" s="1">
        <f t="shared" si="6"/>
        <v>112</v>
      </c>
      <c r="B207">
        <v>1.5480465025476</v>
      </c>
      <c r="C207">
        <v>1.54327124290107</v>
      </c>
      <c r="D207">
        <v>1.53804264484226</v>
      </c>
      <c r="E207">
        <v>1.53236142666957</v>
      </c>
      <c r="F207">
        <v>1.52622850882493</v>
      </c>
      <c r="G207">
        <v>1.5196450480879</v>
      </c>
      <c r="H207">
        <v>1.51261247406947</v>
      </c>
      <c r="I207">
        <v>1.50513252782911</v>
      </c>
      <c r="J207">
        <v>1.49720730239903</v>
      </c>
      <c r="K207">
        <v>1.48883928495639</v>
      </c>
      <c r="L207">
        <v>1.48003140033612</v>
      </c>
      <c r="M207">
        <v>1.4707870555261</v>
      </c>
      <c r="N207">
        <v>1.46111018473247</v>
      </c>
      <c r="O207">
        <v>1.45100529454704</v>
      </c>
      <c r="P207">
        <v>1.44047750869286</v>
      </c>
      <c r="Q207">
        <v>1.42953261176853</v>
      </c>
      <c r="R207">
        <v>1.41817709135951</v>
      </c>
      <c r="S207">
        <v>1.40641817783697</v>
      </c>
      <c r="T207">
        <v>1.39426388112419</v>
      </c>
      <c r="U207">
        <v>1.3817230236789</v>
      </c>
      <c r="V207">
        <v>1.36880526892089</v>
      </c>
      <c r="W207">
        <v>1.35552114432855</v>
      </c>
      <c r="X207">
        <v>1.34188205843977</v>
      </c>
      <c r="Y207">
        <v>1.32790031102235</v>
      </c>
      <c r="Z207">
        <v>1.31358909572969</v>
      </c>
      <c r="AA207">
        <v>1.29896249462912</v>
      </c>
      <c r="AB207">
        <v>1.28403546408422</v>
      </c>
      <c r="AC207">
        <v>1.26882381158761</v>
      </c>
      <c r="AD207">
        <v>1.25334416327664</v>
      </c>
      <c r="AE207">
        <v>1.23761392201804</v>
      </c>
      <c r="AF207">
        <v>1.2216512161169</v>
      </c>
      <c r="AG207">
        <v>1.20547483888469</v>
      </c>
      <c r="AH207">
        <v>1.18910417948729</v>
      </c>
      <c r="AI207">
        <v>1.17255914568022</v>
      </c>
      <c r="AJ207">
        <v>1.15586007921869</v>
      </c>
      <c r="AK207">
        <v>1.13902766489959</v>
      </c>
      <c r="AL207">
        <v>1.12208283434307</v>
      </c>
      <c r="AM207">
        <v>1.10504666574939</v>
      </c>
      <c r="AN207">
        <v>1.08794028096569</v>
      </c>
      <c r="AO207">
        <v>1.07078474126442</v>
      </c>
      <c r="AP207">
        <v>1.05360094326704</v>
      </c>
      <c r="AQ207" s="3"/>
    </row>
    <row r="208" spans="1:43">
      <c r="A208" s="1">
        <f t="shared" si="6"/>
        <v>112.5</v>
      </c>
      <c r="B208">
        <v>1.54814757822658</v>
      </c>
      <c r="C208">
        <v>1.54339351523849</v>
      </c>
      <c r="D208">
        <v>1.53818811336331</v>
      </c>
      <c r="E208">
        <v>1.53253208138581</v>
      </c>
      <c r="F208">
        <v>1.52642632756749</v>
      </c>
      <c r="G208">
        <v>1.51987199339676</v>
      </c>
      <c r="H208">
        <v>1.51287048961283</v>
      </c>
      <c r="I208">
        <v>1.50542353433066</v>
      </c>
      <c r="J208">
        <v>1.49753319305566</v>
      </c>
      <c r="K208">
        <v>1.48920192033444</v>
      </c>
      <c r="L208">
        <v>1.48043260274075</v>
      </c>
      <c r="M208">
        <v>1.47122860284598</v>
      </c>
      <c r="N208">
        <v>1.46159380377055</v>
      </c>
      <c r="O208">
        <v>1.45153265385792</v>
      </c>
      <c r="P208">
        <v>1.4410502109577</v>
      </c>
      <c r="Q208">
        <v>1.43015218575015</v>
      </c>
      <c r="R208">
        <v>1.4188449834924</v>
      </c>
      <c r="S208">
        <v>1.40713574351994</v>
      </c>
      <c r="T208">
        <v>1.39503237579628</v>
      </c>
      <c r="U208">
        <v>1.38254359377241</v>
      </c>
      <c r="V208">
        <v>1.36967894279796</v>
      </c>
      <c r="W208">
        <v>1.35644882331953</v>
      </c>
      <c r="X208">
        <v>1.34286450811241</v>
      </c>
      <c r="Y208">
        <v>1.32893815281934</v>
      </c>
      <c r="Z208">
        <v>1.31468279911886</v>
      </c>
      <c r="AA208">
        <v>1.3001123699143</v>
      </c>
      <c r="AB208">
        <v>1.28524165602529</v>
      </c>
      <c r="AC208">
        <v>1.27008629397547</v>
      </c>
      <c r="AD208">
        <v>1.25466273460189</v>
      </c>
      <c r="AE208">
        <v>1.23898820236149</v>
      </c>
      <c r="AF208">
        <v>1.22308064537492</v>
      </c>
      <c r="AG208">
        <v>1.20695867642406</v>
      </c>
      <c r="AH208">
        <v>1.19064150530173</v>
      </c>
      <c r="AI208">
        <v>1.17414886309526</v>
      </c>
      <c r="AJ208">
        <v>1.15750091916416</v>
      </c>
      <c r="AK208">
        <v>1.14071819173903</v>
      </c>
      <c r="AL208">
        <v>1.12382145321941</v>
      </c>
      <c r="AM208">
        <v>1.10683163137602</v>
      </c>
      <c r="AN208">
        <v>1.08976970776325</v>
      </c>
      <c r="AO208">
        <v>1.07265661471673</v>
      </c>
      <c r="AP208">
        <v>1.05551313234592</v>
      </c>
      <c r="AQ208" s="3"/>
    </row>
    <row r="209" spans="1:43">
      <c r="A209" s="1">
        <f t="shared" si="6"/>
        <v>113</v>
      </c>
      <c r="B209">
        <v>1.54824775988725</v>
      </c>
      <c r="C209">
        <v>1.54351470632857</v>
      </c>
      <c r="D209">
        <v>1.53833229591462</v>
      </c>
      <c r="E209">
        <v>1.5327012280837</v>
      </c>
      <c r="F209">
        <v>1.5266223991307</v>
      </c>
      <c r="G209">
        <v>1.52009693552093</v>
      </c>
      <c r="H209">
        <v>1.51312622945206</v>
      </c>
      <c r="I209">
        <v>1.50571197649519</v>
      </c>
      <c r="J209">
        <v>1.49785621510846</v>
      </c>
      <c r="K209">
        <v>1.48956136777453</v>
      </c>
      <c r="L209">
        <v>1.48083028346796</v>
      </c>
      <c r="M209">
        <v>1.47166628110884</v>
      </c>
      <c r="N209">
        <v>1.46207319360756</v>
      </c>
      <c r="O209">
        <v>1.45205541205185</v>
      </c>
      <c r="P209">
        <v>1.44161792953288</v>
      </c>
      <c r="Q209">
        <v>1.430766384054</v>
      </c>
      <c r="R209">
        <v>1.41950709991442</v>
      </c>
      <c r="S209">
        <v>1.40784712691397</v>
      </c>
      <c r="T209">
        <v>1.39579427668446</v>
      </c>
      <c r="U209">
        <v>1.38335715542242</v>
      </c>
      <c r="V209">
        <v>1.3705451922772</v>
      </c>
      <c r="W209">
        <v>1.35736866264202</v>
      </c>
      <c r="X209">
        <v>1.34383870560412</v>
      </c>
      <c r="Y209">
        <v>1.32996733483693</v>
      </c>
      <c r="Z209">
        <v>1.31576744226299</v>
      </c>
      <c r="AA209">
        <v>1.30125279388283</v>
      </c>
      <c r="AB209">
        <v>1.28643801725243</v>
      </c>
      <c r="AC209">
        <v>1.27133858020028</v>
      </c>
      <c r="AD209">
        <v>1.25597076050318</v>
      </c>
      <c r="AE209">
        <v>1.24035160638591</v>
      </c>
      <c r="AF209">
        <v>1.22449888787084</v>
      </c>
      <c r="AG209">
        <v>1.20843103917564</v>
      </c>
      <c r="AH209">
        <v>1.19216709253621</v>
      </c>
      <c r="AI209">
        <v>1.17572660401183</v>
      </c>
      <c r="AJ209">
        <v>1.1591295720056</v>
      </c>
      <c r="AK209">
        <v>1.14239634939852</v>
      </c>
      <c r="AL209">
        <v>1.12554755034545</v>
      </c>
      <c r="AM209">
        <v>1.10860395290869</v>
      </c>
      <c r="AN209">
        <v>1.09158639880649</v>
      </c>
      <c r="AO209">
        <v>1.07451569162504</v>
      </c>
      <c r="AP209">
        <v>1.05741249487998</v>
      </c>
      <c r="AQ209" s="3"/>
    </row>
    <row r="210" spans="1:43">
      <c r="A210" s="1">
        <f t="shared" si="6"/>
        <v>113.5</v>
      </c>
      <c r="B210">
        <v>1.54834705933685</v>
      </c>
      <c r="C210">
        <v>1.54363483044679</v>
      </c>
      <c r="D210">
        <v>1.53847520946756</v>
      </c>
      <c r="E210">
        <v>1.53286888665453</v>
      </c>
      <c r="F210">
        <v>1.52681674654513</v>
      </c>
      <c r="G210">
        <v>1.52031990084375</v>
      </c>
      <c r="H210">
        <v>1.51337972352959</v>
      </c>
      <c r="I210">
        <v>1.50599788802192</v>
      </c>
      <c r="J210">
        <v>1.49817640620062</v>
      </c>
      <c r="K210">
        <v>1.48991766903889</v>
      </c>
      <c r="L210">
        <v>1.48122448855988</v>
      </c>
      <c r="M210">
        <v>1.47210014078124</v>
      </c>
      <c r="N210">
        <v>1.46254840926044</v>
      </c>
      <c r="O210">
        <v>1.45257362880117</v>
      </c>
      <c r="P210">
        <v>1.4421807288279</v>
      </c>
      <c r="Q210">
        <v>1.43137527588281</v>
      </c>
      <c r="R210">
        <v>1.42016351464961</v>
      </c>
      <c r="S210">
        <v>1.40855240686214</v>
      </c>
      <c r="T210">
        <v>1.39654966741622</v>
      </c>
      <c r="U210">
        <v>1.38416379697188</v>
      </c>
      <c r="V210">
        <v>1.37140411031232</v>
      </c>
      <c r="W210">
        <v>1.35828075971856</v>
      </c>
      <c r="X210">
        <v>1.3448047526265</v>
      </c>
      <c r="Y210">
        <v>1.33098796285773</v>
      </c>
      <c r="Z210">
        <v>1.3168431347597</v>
      </c>
      <c r="AA210">
        <v>1.30238387965422</v>
      </c>
      <c r="AB210">
        <v>1.28762466407822</v>
      </c>
      <c r="AC210">
        <v>1.27258078940531</v>
      </c>
      <c r="AD210">
        <v>1.2572683625613</v>
      </c>
      <c r="AE210">
        <v>1.24170425768918</v>
      </c>
      <c r="AF210">
        <v>1.22590606877583</v>
      </c>
      <c r="AG210">
        <v>1.20989205342137</v>
      </c>
      <c r="AH210">
        <v>1.19368106810733</v>
      </c>
      <c r="AI210">
        <v>1.17729249549677</v>
      </c>
      <c r="AJ210">
        <v>1.16074616447303</v>
      </c>
      <c r="AK210">
        <v>1.14406226378751</v>
      </c>
      <c r="AL210">
        <v>1.12726125033537</v>
      </c>
      <c r="AM210">
        <v>1.11036375320623</v>
      </c>
      <c r="AN210">
        <v>1.09339047475893</v>
      </c>
      <c r="AO210">
        <v>1.07636209004263</v>
      </c>
      <c r="AP210">
        <v>1.05929914592702</v>
      </c>
      <c r="AQ210" s="3"/>
    </row>
    <row r="211" spans="1:43">
      <c r="A211" s="1">
        <f t="shared" si="6"/>
        <v>114</v>
      </c>
      <c r="B211">
        <v>1.54844548817564</v>
      </c>
      <c r="C211">
        <v>1.54375390161846</v>
      </c>
      <c r="D211">
        <v>1.53861687069627</v>
      </c>
      <c r="E211">
        <v>1.53303507664147</v>
      </c>
      <c r="F211">
        <v>1.5270093924386</v>
      </c>
      <c r="G211">
        <v>1.52054091528767</v>
      </c>
      <c r="H211">
        <v>1.51363100126547</v>
      </c>
      <c r="I211">
        <v>1.50628130202293</v>
      </c>
      <c r="J211">
        <v>1.49849380332073</v>
      </c>
      <c r="K211">
        <v>1.49027086516508</v>
      </c>
      <c r="L211">
        <v>1.48161526326169</v>
      </c>
      <c r="M211">
        <v>1.47253023145872</v>
      </c>
      <c r="N211">
        <v>1.46301950479971</v>
      </c>
      <c r="O211">
        <v>1.45308736275568</v>
      </c>
      <c r="P211">
        <v>1.44273867215332</v>
      </c>
      <c r="Q211">
        <v>1.43197892926444</v>
      </c>
      <c r="R211">
        <v>1.42081430047223</v>
      </c>
      <c r="S211">
        <v>1.40925166088469</v>
      </c>
      <c r="T211">
        <v>1.39729863022571</v>
      </c>
      <c r="U211">
        <v>1.38496360530331</v>
      </c>
      <c r="V211">
        <v>1.3722557883335</v>
      </c>
      <c r="W211">
        <v>1.35918521039008</v>
      </c>
      <c r="X211">
        <v>1.34576274925715</v>
      </c>
      <c r="Y211">
        <v>1.33200014098451</v>
      </c>
      <c r="Z211">
        <v>1.3179099844881</v>
      </c>
      <c r="AA211">
        <v>1.30350573859861</v>
      </c>
      <c r="AB211">
        <v>1.28880171104344</v>
      </c>
      <c r="AC211">
        <v>1.27381303894845</v>
      </c>
      <c r="AD211">
        <v>1.25855566056739</v>
      </c>
      <c r="AE211">
        <v>1.24304627808468</v>
      </c>
      <c r="AF211">
        <v>1.22730231149134</v>
      </c>
      <c r="AG211">
        <v>1.21134184369783</v>
      </c>
      <c r="AH211">
        <v>1.19518355721997</v>
      </c>
      <c r="AI211">
        <v>1.17884666294783</v>
      </c>
      <c r="AJ211">
        <v>1.16235082167869</v>
      </c>
      <c r="AK211">
        <v>1.14571605925683</v>
      </c>
      <c r="AL211">
        <v>1.12896267631102</v>
      </c>
      <c r="AM211">
        <v>1.11211115370784</v>
      </c>
      <c r="AN211">
        <v>1.09518205494257</v>
      </c>
      <c r="AO211">
        <v>1.07819592676392</v>
      </c>
      <c r="AP211">
        <v>1.06117319937191</v>
      </c>
      <c r="AQ211" s="3"/>
    </row>
    <row r="212" spans="1:43">
      <c r="A212" s="1">
        <f t="shared" si="6"/>
        <v>114.5</v>
      </c>
      <c r="B212">
        <v>1.54854305780142</v>
      </c>
      <c r="C212">
        <v>1.54387193362422</v>
      </c>
      <c r="D212">
        <v>1.53875729598415</v>
      </c>
      <c r="E212">
        <v>1.53319981724712</v>
      </c>
      <c r="F212">
        <v>1.52720035904496</v>
      </c>
      <c r="G212">
        <v>1.52076000432426</v>
      </c>
      <c r="H212">
        <v>1.51388009156864</v>
      </c>
      <c r="I212">
        <v>1.50656225103598</v>
      </c>
      <c r="J212">
        <v>1.49880844281689</v>
      </c>
      <c r="K212">
        <v>1.49062099648156</v>
      </c>
      <c r="L212">
        <v>1.4820026520387</v>
      </c>
      <c r="M212">
        <v>1.47295660188442</v>
      </c>
      <c r="N212">
        <v>1.46348653336968</v>
      </c>
      <c r="O212">
        <v>1.45359667156428</v>
      </c>
      <c r="P212">
        <v>1.443291821744</v>
      </c>
      <c r="Q212">
        <v>1.43257741107651</v>
      </c>
      <c r="R212">
        <v>1.42145952893284</v>
      </c>
      <c r="S212">
        <v>1.40994496520643</v>
      </c>
      <c r="T212">
        <v>1.39804124598235</v>
      </c>
      <c r="U212">
        <v>1.38575666586837</v>
      </c>
      <c r="V212">
        <v>1.37310031627804</v>
      </c>
      <c r="W212">
        <v>1.36008210894735</v>
      </c>
      <c r="X212">
        <v>1.34671279397177</v>
      </c>
      <c r="Y212">
        <v>1.33300397167265</v>
      </c>
      <c r="Z212">
        <v>1.31896809764145</v>
      </c>
      <c r="AA212">
        <v>1.30461848036945</v>
      </c>
      <c r="AB212">
        <v>1.28996927094946</v>
      </c>
      <c r="AC212">
        <v>1.27503544443424</v>
      </c>
      <c r="AD212">
        <v>1.25983277255423</v>
      </c>
      <c r="AE212">
        <v>1.24437778763173</v>
      </c>
      <c r="AF212">
        <v>1.22868773767842</v>
      </c>
      <c r="AG212">
        <v>1.21278053282421</v>
      </c>
      <c r="AH212">
        <v>1.19667468339381</v>
      </c>
      <c r="AI212">
        <v>1.18038923011866</v>
      </c>
      <c r="AJ212">
        <v>1.16394366714007</v>
      </c>
      <c r="AK212">
        <v>1.14735785861985</v>
      </c>
      <c r="AL212">
        <v>1.13065194992119</v>
      </c>
      <c r="AM212">
        <v>1.11384627445031</v>
      </c>
      <c r="AN212">
        <v>1.09696125735309</v>
      </c>
      <c r="AO212">
        <v>1.08001731733747</v>
      </c>
      <c r="AP212">
        <v>1.06303476793771</v>
      </c>
      <c r="AQ212" s="3"/>
    </row>
    <row r="213" spans="1:43">
      <c r="A213" s="1">
        <f t="shared" si="6"/>
        <v>115</v>
      </c>
      <c r="B213">
        <v>1.54863977941393</v>
      </c>
      <c r="C213">
        <v>1.54398894000536</v>
      </c>
      <c r="D213">
        <v>1.53889650143017</v>
      </c>
      <c r="E213">
        <v>1.53336312734093</v>
      </c>
      <c r="F213">
        <v>1.52738966821259</v>
      </c>
      <c r="G213">
        <v>1.52097719298392</v>
      </c>
      <c r="H213">
        <v>1.51412702284799</v>
      </c>
      <c r="I213">
        <v>1.50684076703682</v>
      </c>
      <c r="J213">
        <v>1.49912036041055</v>
      </c>
      <c r="K213">
        <v>1.49096810262295</v>
      </c>
      <c r="L213">
        <v>1.48238669859308</v>
      </c>
      <c r="M213">
        <v>1.47337929996731</v>
      </c>
      <c r="N213">
        <v>1.46394954720814</v>
      </c>
      <c r="O213">
        <v>1.45410161189622</v>
      </c>
      <c r="P213">
        <v>1.44384023878166</v>
      </c>
      <c r="Q213">
        <v>1.43317078707045</v>
      </c>
      <c r="R213">
        <v>1.4220992703837</v>
      </c>
      <c r="S213">
        <v>1.41063239478337</v>
      </c>
      <c r="T213">
        <v>1.39877759421868</v>
      </c>
      <c r="U213">
        <v>1.3865430627169</v>
      </c>
      <c r="V213">
        <v>1.37393778262028</v>
      </c>
      <c r="W213">
        <v>1.36097154816164</v>
      </c>
      <c r="X213">
        <v>1.34765498367544</v>
      </c>
      <c r="Y213">
        <v>1.33399955576189</v>
      </c>
      <c r="Z213">
        <v>1.32001757875908</v>
      </c>
      <c r="AA213">
        <v>1.30572221293542</v>
      </c>
      <c r="AB213">
        <v>1.2911274548901</v>
      </c>
      <c r="AC213">
        <v>1.27624811974518</v>
      </c>
      <c r="AD213">
        <v>1.261099814827</v>
      </c>
      <c r="AE213">
        <v>1.24569890466548</v>
      </c>
      <c r="AF213">
        <v>1.23006246728655</v>
      </c>
      <c r="AG213">
        <v>1.21420824192983</v>
      </c>
      <c r="AH213">
        <v>1.1981545684894</v>
      </c>
      <c r="AI213">
        <v>1.18192031914319</v>
      </c>
      <c r="AJ213">
        <v>1.16552482280273</v>
      </c>
      <c r="AK213">
        <v>1.14898778317338</v>
      </c>
      <c r="AL213">
        <v>1.13232919136054</v>
      </c>
      <c r="AM213">
        <v>1.11556923408501</v>
      </c>
      <c r="AN213">
        <v>1.09872819867484</v>
      </c>
      <c r="AO213">
        <v>1.08182637607908</v>
      </c>
      <c r="AP213">
        <v>1.06488396319668</v>
      </c>
      <c r="AQ213" s="3"/>
    </row>
    <row r="214" spans="1:43">
      <c r="A214" s="1">
        <f t="shared" si="6"/>
        <v>115.5</v>
      </c>
      <c r="B214">
        <v>1.54873566401913</v>
      </c>
      <c r="C214">
        <v>1.54410493406893</v>
      </c>
      <c r="D214">
        <v>1.53903450285498</v>
      </c>
      <c r="E214">
        <v>1.53352502546635</v>
      </c>
      <c r="F214">
        <v>1.52757734141276</v>
      </c>
      <c r="G214">
        <v>1.52119250586546</v>
      </c>
      <c r="H214">
        <v>1.5143718230231</v>
      </c>
      <c r="I214">
        <v>1.50711688145128</v>
      </c>
      <c r="J214">
        <v>1.49942959120986</v>
      </c>
      <c r="K214">
        <v>1.49131222254483</v>
      </c>
      <c r="L214">
        <v>1.48276744588008</v>
      </c>
      <c r="M214">
        <v>1.47379837279983</v>
      </c>
      <c r="N214">
        <v>1.46440859766545</v>
      </c>
      <c r="O214">
        <v>1.45460223946165</v>
      </c>
      <c r="P214">
        <v>1.444383983417</v>
      </c>
      <c r="Q214">
        <v>1.43375912189494</v>
      </c>
      <c r="R214">
        <v>1.42273359400356</v>
      </c>
      <c r="S214">
        <v>1.41131402332883</v>
      </c>
      <c r="T214">
        <v>1.3995077531576</v>
      </c>
      <c r="U214">
        <v>1.38732287852514</v>
      </c>
      <c r="V214">
        <v>1.37476827440075</v>
      </c>
      <c r="W214">
        <v>1.3618536193147</v>
      </c>
      <c r="X214">
        <v>1.34858941373319</v>
      </c>
      <c r="Y214">
        <v>1.33498699250729</v>
      </c>
      <c r="Z214">
        <v>1.32105853075769</v>
      </c>
      <c r="AA214">
        <v>1.30681704261178</v>
      </c>
      <c r="AB214">
        <v>1.29227637228266</v>
      </c>
      <c r="AC214">
        <v>1.27745117707249</v>
      </c>
      <c r="AD214">
        <v>1.26235690199332</v>
      </c>
      <c r="AE214">
        <v>1.24700974582614</v>
      </c>
      <c r="AF214">
        <v>1.23142661858184</v>
      </c>
      <c r="AG214">
        <v>1.21562509048123</v>
      </c>
      <c r="AH214">
        <v>1.19962333273387</v>
      </c>
      <c r="AI214">
        <v>1.18344005055982</v>
      </c>
      <c r="AJ214">
        <v>1.16709440906268</v>
      </c>
      <c r="AK214">
        <v>1.15060595271831</v>
      </c>
      <c r="AL214">
        <v>1.1339945193884</v>
      </c>
      <c r="AM214">
        <v>1.11728014989477</v>
      </c>
      <c r="AN214">
        <v>1.10048299429574</v>
      </c>
      <c r="AO214">
        <v>1.08362321608469</v>
      </c>
      <c r="AP214">
        <v>1.06672089558136</v>
      </c>
      <c r="AQ214" s="3"/>
    </row>
    <row r="215" spans="1:43">
      <c r="A215" s="1">
        <f t="shared" si="6"/>
        <v>116</v>
      </c>
      <c r="B215">
        <v>1.5488307224334</v>
      </c>
      <c r="C215">
        <v>1.54421992889284</v>
      </c>
      <c r="D215">
        <v>1.53917131580694</v>
      </c>
      <c r="E215">
        <v>1.53368552984785</v>
      </c>
      <c r="F215">
        <v>1.52776339974767</v>
      </c>
      <c r="G215">
        <v>1.52140596714527</v>
      </c>
      <c r="H215">
        <v>1.51461451953476</v>
      </c>
      <c r="I215">
        <v>1.50739062516705</v>
      </c>
      <c r="J215">
        <v>1.49973616972281</v>
      </c>
      <c r="K215">
        <v>1.49165339453819</v>
      </c>
      <c r="L215">
        <v>1.48314493612391</v>
      </c>
      <c r="M215">
        <v>1.47421386667521</v>
      </c>
      <c r="N215">
        <v>1.46486373522334</v>
      </c>
      <c r="O215">
        <v>1.45509860903177</v>
      </c>
      <c r="P215">
        <v>1.44492311479114</v>
      </c>
      <c r="Q215">
        <v>1.43434247911883</v>
      </c>
      <c r="R215">
        <v>1.42336256782182</v>
      </c>
      <c r="S215">
        <v>1.41198992333883</v>
      </c>
      <c r="T215">
        <v>1.40023179973894</v>
      </c>
      <c r="U215">
        <v>1.38809619462336</v>
      </c>
      <c r="V215">
        <v>1.37559187725472</v>
      </c>
      <c r="W215">
        <v>1.36272841222807</v>
      </c>
      <c r="X215">
        <v>1.3495161779999</v>
      </c>
      <c r="Y215">
        <v>1.33596637960962</v>
      </c>
      <c r="Z215">
        <v>1.32209105496188</v>
      </c>
      <c r="AA215">
        <v>1.30790307409093</v>
      </c>
      <c r="AB215">
        <v>1.29341613089842</v>
      </c>
      <c r="AC215">
        <v>1.27864472694616</v>
      </c>
      <c r="AD215">
        <v>1.2636041469928</v>
      </c>
      <c r="AE215">
        <v>1.24831042608774</v>
      </c>
      <c r="AF215">
        <v>1.2327803081748</v>
      </c>
      <c r="AG215">
        <v>1.2170311963087</v>
      </c>
      <c r="AH215">
        <v>1.20108109474609</v>
      </c>
      <c r="AI215">
        <v>1.18494854333511</v>
      </c>
      <c r="AJ215">
        <v>1.1686525447885</v>
      </c>
      <c r="AK215">
        <v>1.15221248558004</v>
      </c>
      <c r="AL215">
        <v>1.13564805134735</v>
      </c>
      <c r="AM215">
        <v>1.11897913781052</v>
      </c>
      <c r="AN215">
        <v>1.10222575832204</v>
      </c>
      <c r="AO215">
        <v>1.08540794924327</v>
      </c>
      <c r="AP215">
        <v>1.06854567439552</v>
      </c>
      <c r="AQ215" s="3"/>
    </row>
    <row r="216" spans="1:43">
      <c r="A216" s="1">
        <f t="shared" si="6"/>
        <v>116.5</v>
      </c>
      <c r="B216">
        <v>1.54892496528756</v>
      </c>
      <c r="C216">
        <v>1.54433393733075</v>
      </c>
      <c r="D216">
        <v>1.5393069555679</v>
      </c>
      <c r="E216">
        <v>1.53384465839778</v>
      </c>
      <c r="F216">
        <v>1.52794786395837</v>
      </c>
      <c r="G216">
        <v>1.52161760058641</v>
      </c>
      <c r="H216">
        <v>1.51485513935512</v>
      </c>
      <c r="I216">
        <v>1.50766202854506</v>
      </c>
      <c r="J216">
        <v>1.50004012986997</v>
      </c>
      <c r="K216">
        <v>1.49199165624352</v>
      </c>
      <c r="L216">
        <v>1.48351921083314</v>
      </c>
      <c r="M216">
        <v>1.47462582710427</v>
      </c>
      <c r="N216">
        <v>1.46531500951303</v>
      </c>
      <c r="O216">
        <v>1.45559077445842</v>
      </c>
      <c r="P216">
        <v>1.44545769105667</v>
      </c>
      <c r="Q216">
        <v>1.43492092125336</v>
      </c>
      <c r="R216">
        <v>1.42398625874214</v>
      </c>
      <c r="S216">
        <v>1.41266016611687</v>
      </c>
      <c r="T216">
        <v>1.40094980964537</v>
      </c>
      <c r="U216">
        <v>1.38886309102278</v>
      </c>
      <c r="V216">
        <v>1.37640867544001</v>
      </c>
      <c r="W216">
        <v>1.36359601529161</v>
      </c>
      <c r="X216">
        <v>1.35043536884951</v>
      </c>
      <c r="Y216">
        <v>1.33693781324495</v>
      </c>
      <c r="Z216">
        <v>1.32311525113406</v>
      </c>
      <c r="AA216">
        <v>1.3089804104724</v>
      </c>
      <c r="AB216">
        <v>1.29454683689245</v>
      </c>
      <c r="AC216">
        <v>1.27982887826445</v>
      </c>
      <c r="AD216">
        <v>1.26484166112597</v>
      </c>
      <c r="AE216">
        <v>1.24960105878628</v>
      </c>
      <c r="AF216">
        <v>1.2341236510476</v>
      </c>
      <c r="AG216">
        <v>1.21842667563241</v>
      </c>
      <c r="AH216">
        <v>1.20252797156155</v>
      </c>
      <c r="AI216">
        <v>1.18644591488718</v>
      </c>
      <c r="AJ216">
        <v>1.17019934734316</v>
      </c>
      <c r="AK216">
        <v>1.15380749862852</v>
      </c>
      <c r="AL216">
        <v>1.1372899031815</v>
      </c>
      <c r="AM216">
        <v>1.12066631242783</v>
      </c>
      <c r="AN216">
        <v>1.10395660359301</v>
      </c>
      <c r="AO216">
        <v>1.0871806862496</v>
      </c>
      <c r="AP216">
        <v>1.07035840782511</v>
      </c>
      <c r="AQ216" s="3"/>
    </row>
    <row r="217" spans="1:43">
      <c r="A217" s="1">
        <f t="shared" si="6"/>
        <v>117</v>
      </c>
      <c r="B217">
        <v>1.54901840303084</v>
      </c>
      <c r="C217">
        <v>1.54444697201685</v>
      </c>
      <c r="D217">
        <v>1.53944143715896</v>
      </c>
      <c r="E217">
        <v>1.53400242872296</v>
      </c>
      <c r="F217">
        <v>1.52813075443247</v>
      </c>
      <c r="G217">
        <v>1.52182742954736</v>
      </c>
      <c r="H217">
        <v>1.51509370899769</v>
      </c>
      <c r="I217">
        <v>1.50793112143075</v>
      </c>
      <c r="J217">
        <v>1.50034150499688</v>
      </c>
      <c r="K217">
        <v>1.49232704466455</v>
      </c>
      <c r="L217">
        <v>1.48389031081583</v>
      </c>
      <c r="M217">
        <v>1.47503429883184</v>
      </c>
      <c r="N217">
        <v>1.46576246933307</v>
      </c>
      <c r="O217">
        <v>1.45607878869322</v>
      </c>
      <c r="P217">
        <v>1.44598776939805</v>
      </c>
      <c r="Q217">
        <v>1.43549450977399</v>
      </c>
      <c r="R217">
        <v>1.42460473256545</v>
      </c>
      <c r="S217">
        <v>1.41332482179817</v>
      </c>
      <c r="T217">
        <v>1.40166185732768</v>
      </c>
      <c r="U217">
        <v>1.38962364644192</v>
      </c>
      <c r="V217">
        <v>1.37721875186422</v>
      </c>
      <c r="W217">
        <v>1.36445651549152</v>
      </c>
      <c r="X217">
        <v>1.35134707720354</v>
      </c>
      <c r="Y217">
        <v>1.33790138809367</v>
      </c>
      <c r="Z217">
        <v>1.32413121750369</v>
      </c>
      <c r="AA217">
        <v>1.31004915329215</v>
      </c>
      <c r="AB217">
        <v>1.29566859483278</v>
      </c>
      <c r="AC217">
        <v>1.28100373832276</v>
      </c>
      <c r="AD217">
        <v>1.26606955408264</v>
      </c>
      <c r="AE217">
        <v>1.25088175564744</v>
      </c>
      <c r="AF217">
        <v>1.23545676058079</v>
      </c>
      <c r="AG217">
        <v>1.21981164308806</v>
      </c>
      <c r="AH217">
        <v>1.20396407865673</v>
      </c>
      <c r="AI217">
        <v>1.1879322811087</v>
      </c>
      <c r="AJ217">
        <v>1.17173493260546</v>
      </c>
      <c r="AK217">
        <v>1.15539110729811</v>
      </c>
      <c r="AL217">
        <v>1.13892018945466</v>
      </c>
      <c r="AM217">
        <v>1.12234178702324</v>
      </c>
      <c r="AN217">
        <v>1.10567564169542</v>
      </c>
      <c r="AO217">
        <v>1.088941536617</v>
      </c>
      <c r="AP217">
        <v>1.07215920294919</v>
      </c>
      <c r="AQ217" s="3"/>
    </row>
    <row r="218" spans="1:43">
      <c r="A218" s="1">
        <f t="shared" si="6"/>
        <v>117.5</v>
      </c>
      <c r="B218">
        <v>1.54911104593479</v>
      </c>
      <c r="C218">
        <v>1.54455904537055</v>
      </c>
      <c r="D218">
        <v>1.53957477534591</v>
      </c>
      <c r="E218">
        <v>1.53415885813123</v>
      </c>
      <c r="F218">
        <v>1.52831209121159</v>
      </c>
      <c r="G218">
        <v>1.5220354769906</v>
      </c>
      <c r="H218">
        <v>1.51533025452702</v>
      </c>
      <c r="I218">
        <v>1.50819793316485</v>
      </c>
      <c r="J218">
        <v>1.50064032788621</v>
      </c>
      <c r="K218">
        <v>1.49265959618161</v>
      </c>
      <c r="L218">
        <v>1.48425827619413</v>
      </c>
      <c r="M218">
        <v>1.47543932585278</v>
      </c>
      <c r="N218">
        <v>1.46620616266664</v>
      </c>
      <c r="O218">
        <v>1.45656270380619</v>
      </c>
      <c r="P218">
        <v>1.44651340605159</v>
      </c>
      <c r="Q218">
        <v>1.4360633051416</v>
      </c>
      <c r="R218">
        <v>1.4252180540124</v>
      </c>
      <c r="S218">
        <v>1.41398395937326</v>
      </c>
      <c r="T218">
        <v>1.40236801602954</v>
      </c>
      <c r="U218">
        <v>1.39037793833222</v>
      </c>
      <c r="V218">
        <v>1.37802218811127</v>
      </c>
      <c r="W218">
        <v>1.36530999843762</v>
      </c>
      <c r="X218">
        <v>1.35225139255904</v>
      </c>
      <c r="Y218">
        <v>1.33885719736882</v>
      </c>
      <c r="Z218">
        <v>1.3251390507959</v>
      </c>
      <c r="AA218">
        <v>1.31110940255128</v>
      </c>
      <c r="AB218">
        <v>1.29678150772905</v>
      </c>
      <c r="AC218">
        <v>1.28216941284192</v>
      </c>
      <c r="AD218">
        <v>1.26728793396967</v>
      </c>
      <c r="AE218">
        <v>1.25215262681361</v>
      </c>
      <c r="AF218">
        <v>1.23677974857954</v>
      </c>
      <c r="AG218">
        <v>1.22118621175211</v>
      </c>
      <c r="AH218">
        <v>1.20538952997312</v>
      </c>
      <c r="AI218">
        <v>1.18940775638953</v>
      </c>
      <c r="AJ218">
        <v>1.17325941499124</v>
      </c>
      <c r="AK218">
        <v>1.15696342560716</v>
      </c>
      <c r="AL218">
        <v>1.14053902336821</v>
      </c>
      <c r="AM218">
        <v>1.12400567357041</v>
      </c>
      <c r="AN218">
        <v>1.107382982978</v>
      </c>
      <c r="AO218">
        <v>1.09069060868993</v>
      </c>
      <c r="AP218">
        <v>1.07394816575079</v>
      </c>
      <c r="AQ218" s="3"/>
    </row>
    <row r="219" spans="1:43">
      <c r="A219" s="1">
        <f t="shared" si="6"/>
        <v>118</v>
      </c>
      <c r="B219">
        <v>1.54920290409696</v>
      </c>
      <c r="C219">
        <v>1.54467016960097</v>
      </c>
      <c r="D219">
        <v>1.53970698464471</v>
      </c>
      <c r="E219">
        <v>1.5343139636377</v>
      </c>
      <c r="F219">
        <v>1.52849189399868</v>
      </c>
      <c r="G219">
        <v>1.52224176549095</v>
      </c>
      <c r="H219">
        <v>1.51556480156814</v>
      </c>
      <c r="I219">
        <v>1.50846249259408</v>
      </c>
      <c r="J219">
        <v>1.50093663076953</v>
      </c>
      <c r="K219">
        <v>1.49298934656466</v>
      </c>
      <c r="L219">
        <v>1.48462314641865</v>
      </c>
      <c r="M219">
        <v>1.47584095142751</v>
      </c>
      <c r="N219">
        <v>1.46664613669841</v>
      </c>
      <c r="O219">
        <v>1.45704257100398</v>
      </c>
      <c r="P219">
        <v>1.44703465632489</v>
      </c>
      <c r="Q219">
        <v>1.43662736682322</v>
      </c>
      <c r="R219">
        <v>1.42582628674524</v>
      </c>
      <c r="S219">
        <v>1.41463764671103</v>
      </c>
      <c r="T219">
        <v>1.40306835781156</v>
      </c>
      <c r="U219">
        <v>1.3911260429032</v>
      </c>
      <c r="V219">
        <v>1.37881906446735</v>
      </c>
      <c r="W219">
        <v>1.36615654839001</v>
      </c>
      <c r="X219">
        <v>1.35314840301584</v>
      </c>
      <c r="Y219">
        <v>1.33980533284377</v>
      </c>
      <c r="Z219">
        <v>1.32613884625946</v>
      </c>
      <c r="AA219">
        <v>1.31216125674409</v>
      </c>
      <c r="AB219">
        <v>1.29788567706043</v>
      </c>
      <c r="AC219">
        <v>1.28332600599594</v>
      </c>
      <c r="AD219">
        <v>1.26849690733829</v>
      </c>
      <c r="AE219">
        <v>1.2534137808706</v>
      </c>
      <c r="AF219">
        <v>1.23809272529946</v>
      </c>
      <c r="AG219">
        <v>1.22255049316655</v>
      </c>
      <c r="AH219">
        <v>1.20680443794081</v>
      </c>
      <c r="AI219">
        <v>1.19087245363905</v>
      </c>
      <c r="AJ219">
        <v>1.17477290747417</v>
      </c>
      <c r="AK219">
        <v>1.15852456617734</v>
      </c>
      <c r="AL219">
        <v>1.14214651677881</v>
      </c>
      <c r="AM219">
        <v>1.12565808275615</v>
      </c>
      <c r="AN219">
        <v>1.10907873656564</v>
      </c>
      <c r="AO219">
        <v>1.09242800965654</v>
      </c>
      <c r="AP219">
        <v>1.07572540112773</v>
      </c>
      <c r="AQ219" s="3"/>
    </row>
    <row r="220" spans="1:43">
      <c r="A220" s="1">
        <f t="shared" si="6"/>
        <v>118.5</v>
      </c>
      <c r="B220">
        <v>1.54929398744464</v>
      </c>
      <c r="C220">
        <v>1.54478035671143</v>
      </c>
      <c r="D220">
        <v>1.53983807932671</v>
      </c>
      <c r="E220">
        <v>1.53446776197095</v>
      </c>
      <c r="F220">
        <v>1.52867018216516</v>
      </c>
      <c r="G220">
        <v>1.52244631724372</v>
      </c>
      <c r="H220">
        <v>1.51579737531579</v>
      </c>
      <c r="I220">
        <v>1.5087248280814</v>
      </c>
      <c r="J220">
        <v>1.50123044533885</v>
      </c>
      <c r="K220">
        <v>1.49331633098606</v>
      </c>
      <c r="L220">
        <v>1.48498496028238</v>
      </c>
      <c r="M220">
        <v>1.47623921809732</v>
      </c>
      <c r="N220">
        <v>1.46708243783109</v>
      </c>
      <c r="O220">
        <v>1.45751844064755</v>
      </c>
      <c r="P220">
        <v>1.44755157461588</v>
      </c>
      <c r="Q220">
        <v>1.43718675331222</v>
      </c>
      <c r="R220">
        <v>1.42642949338928</v>
      </c>
      <c r="S220">
        <v>1.41528595058126</v>
      </c>
      <c r="T220">
        <v>1.40376295357487</v>
      </c>
      <c r="U220">
        <v>1.39186803514692</v>
      </c>
      <c r="V220">
        <v>1.37960945994628</v>
      </c>
      <c r="W220">
        <v>1.36699624828518</v>
      </c>
      <c r="X220">
        <v>1.3540381953032</v>
      </c>
      <c r="Y220">
        <v>1.34074588487939</v>
      </c>
      <c r="Z220">
        <v>1.32713069769419</v>
      </c>
      <c r="AA220">
        <v>1.31320481288561</v>
      </c>
      <c r="AB220">
        <v>1.29898120280313</v>
      </c>
      <c r="AC220">
        <v>1.28447362043914</v>
      </c>
      <c r="AD220">
        <v>1.26969657921079</v>
      </c>
      <c r="AE220">
        <v>1.25466532487368</v>
      </c>
      <c r="AF220">
        <v>1.23939579947189</v>
      </c>
      <c r="AG220">
        <v>1.22390459736322</v>
      </c>
      <c r="AH220">
        <v>1.20820891350175</v>
      </c>
      <c r="AI220">
        <v>1.19232648430808</v>
      </c>
      <c r="AJ220">
        <v>1.17627552160637</v>
      </c>
      <c r="AK220">
        <v>1.16007464025265</v>
      </c>
      <c r="AL220">
        <v>1.14374278021583</v>
      </c>
      <c r="AM220">
        <v>1.12729912399623</v>
      </c>
      <c r="AN220">
        <v>1.1107630103736</v>
      </c>
      <c r="AO220">
        <v>1.09415384556112</v>
      </c>
      <c r="AP220">
        <v>1.07749101290337</v>
      </c>
      <c r="AQ220" s="3"/>
    </row>
    <row r="221" spans="1:43">
      <c r="A221" s="1">
        <f t="shared" si="6"/>
        <v>119</v>
      </c>
      <c r="B221">
        <v>1.54938430573838</v>
      </c>
      <c r="C221">
        <v>1.54488961850372</v>
      </c>
      <c r="D221">
        <v>1.5399680734238</v>
      </c>
      <c r="E221">
        <v>1.53462026957905</v>
      </c>
      <c r="F221">
        <v>1.52884697475782</v>
      </c>
      <c r="G221">
        <v>1.52264915407265</v>
      </c>
      <c r="H221">
        <v>1.51602800054341</v>
      </c>
      <c r="I221">
        <v>1.50898496751618</v>
      </c>
      <c r="J221">
        <v>1.50152180275782</v>
      </c>
      <c r="K221">
        <v>1.49364058403293</v>
      </c>
      <c r="L221">
        <v>1.48534375593433</v>
      </c>
      <c r="M221">
        <v>1.47663416769912</v>
      </c>
      <c r="N221">
        <v>1.46751511170145</v>
      </c>
      <c r="O221">
        <v>1.45799036226955</v>
      </c>
      <c r="P221">
        <v>1.44806421443131</v>
      </c>
      <c r="Q221">
        <v>1.43774152214804</v>
      </c>
      <c r="R221">
        <v>1.42702773555371</v>
      </c>
      <c r="S221">
        <v>1.41592893667657</v>
      </c>
      <c r="T221">
        <v>1.40445187308412</v>
      </c>
      <c r="U221">
        <v>1.39260398886189</v>
      </c>
      <c r="V221">
        <v>1.38039345231424</v>
      </c>
      <c r="W221">
        <v>1.36782917976145</v>
      </c>
      <c r="X221">
        <v>1.35492085480591</v>
      </c>
      <c r="Y221">
        <v>1.34167894245051</v>
      </c>
      <c r="Z221">
        <v>1.32811469747773</v>
      </c>
      <c r="AA221">
        <v>1.31424016653849</v>
      </c>
      <c r="AB221">
        <v>1.30006818345718</v>
      </c>
      <c r="AC221">
        <v>1.28561235733281</v>
      </c>
      <c r="AD221">
        <v>1.27088705310674</v>
      </c>
      <c r="AE221">
        <v>1.25590736437322</v>
      </c>
      <c r="AF221">
        <v>1.24068907832874</v>
      </c>
      <c r="AG221">
        <v>1.22524863288774</v>
      </c>
      <c r="AH221">
        <v>1.20960306613251</v>
      </c>
      <c r="AI221">
        <v>1.19376995841047</v>
      </c>
      <c r="AJ221">
        <v>1.17776736753862</v>
      </c>
      <c r="AK221">
        <v>1.16161375771827</v>
      </c>
      <c r="AL221">
        <v>1.14532792289865</v>
      </c>
      <c r="AM221">
        <v>1.12892890545104</v>
      </c>
      <c r="AN221">
        <v>1.11243591112151</v>
      </c>
      <c r="AO221">
        <v>1.09586822131649</v>
      </c>
      <c r="AP221">
        <v>1.07924510383733</v>
      </c>
      <c r="AQ221" s="3"/>
    </row>
    <row r="222" spans="1:43">
      <c r="A222" s="1">
        <f t="shared" si="6"/>
        <v>119.5</v>
      </c>
      <c r="B222">
        <v>1.54947386857552</v>
      </c>
      <c r="C222">
        <v>1.54499796658235</v>
      </c>
      <c r="D222">
        <v>1.54009698073338</v>
      </c>
      <c r="E222">
        <v>1.53477150263536</v>
      </c>
      <c r="F222">
        <v>1.52902229050563</v>
      </c>
      <c r="G222">
        <v>1.52285029743764</v>
      </c>
      <c r="H222">
        <v>1.51625670161188</v>
      </c>
      <c r="I222">
        <v>1.50924293832396</v>
      </c>
      <c r="J222">
        <v>1.5018107336727</v>
      </c>
      <c r="K222">
        <v>1.49396213971927</v>
      </c>
      <c r="L222">
        <v>1.48569957089278</v>
      </c>
      <c r="M222">
        <v>1.47702584137998</v>
      </c>
      <c r="N222">
        <v>1.46794420319601</v>
      </c>
      <c r="O222">
        <v>1.45845838459115</v>
      </c>
      <c r="P222">
        <v>1.44857262840481</v>
      </c>
      <c r="Q222">
        <v>1.43829172993542</v>
      </c>
      <c r="R222">
        <v>1.42762107385196</v>
      </c>
      <c r="S222">
        <v>1.41656666963387</v>
      </c>
      <c r="T222">
        <v>1.40513518498989</v>
      </c>
      <c r="U222">
        <v>1.39333397667652</v>
      </c>
      <c r="V222">
        <v>1.38117111811402</v>
      </c>
      <c r="W222">
        <v>1.36865542318392</v>
      </c>
      <c r="X222">
        <v>1.35579646558974</v>
      </c>
      <c r="Y222">
        <v>1.34260459317186</v>
      </c>
      <c r="Z222">
        <v>1.32909093659174</v>
      </c>
      <c r="AA222">
        <v>1.31526741183932</v>
      </c>
      <c r="AB222">
        <v>1.30114671607277</v>
      </c>
      <c r="AC222">
        <v>1.28674231637126</v>
      </c>
      <c r="AD222">
        <v>1.27206843106868</v>
      </c>
      <c r="AE222">
        <v>1.25714000343983</v>
      </c>
      <c r="AF222">
        <v>1.24197266762689</v>
      </c>
      <c r="AG222">
        <v>1.22658270682302</v>
      </c>
      <c r="AH222">
        <v>1.21098700386681</v>
      </c>
      <c r="AI222">
        <v>1.19520298454442</v>
      </c>
      <c r="AJ222">
        <v>1.17924855404036</v>
      </c>
      <c r="AK222">
        <v>1.16314202711906</v>
      </c>
      <c r="AL222">
        <v>1.14690205275371</v>
      </c>
      <c r="AM222">
        <v>1.13054753404106</v>
      </c>
      <c r="AN222">
        <v>1.11409754434724</v>
      </c>
      <c r="AO222">
        <v>1.09757124071621</v>
      </c>
      <c r="AP222">
        <v>1.08098777563618</v>
      </c>
      <c r="AQ222" s="3"/>
    </row>
    <row r="223" spans="1:43">
      <c r="A223" s="1">
        <f t="shared" si="6"/>
        <v>120</v>
      </c>
      <c r="B223">
        <v>1.54956268539355</v>
      </c>
      <c r="C223">
        <v>1.54510541235863</v>
      </c>
      <c r="D223">
        <v>1.54022481482327</v>
      </c>
      <c r="E223">
        <v>1.53492147704428</v>
      </c>
      <c r="F223">
        <v>1.52919614782631</v>
      </c>
      <c r="G223">
        <v>1.52304976844227</v>
      </c>
      <c r="H223">
        <v>1.5164835024781</v>
      </c>
      <c r="I223">
        <v>1.50949876747609</v>
      </c>
      <c r="J223">
        <v>1.50209726822303</v>
      </c>
      <c r="K223">
        <v>1.49428103149775</v>
      </c>
      <c r="L223">
        <v>1.48605244205827</v>
      </c>
      <c r="M223">
        <v>1.47741427961118</v>
      </c>
      <c r="N223">
        <v>1.46836975646637</v>
      </c>
      <c r="O223">
        <v>1.45892255553854</v>
      </c>
      <c r="P223">
        <v>1.4490768683146</v>
      </c>
      <c r="Q223">
        <v>1.43883743236323</v>
      </c>
      <c r="R223">
        <v>1.42820956792166</v>
      </c>
      <c r="S223">
        <v>1.41719921305531</v>
      </c>
      <c r="T223">
        <v>1.40581295685066</v>
      </c>
      <c r="U223">
        <v>1.39405807007188</v>
      </c>
      <c r="V223">
        <v>1.38194253268862</v>
      </c>
      <c r="W223">
        <v>1.36947505766879</v>
      </c>
      <c r="X223">
        <v>1.35666511042638</v>
      </c>
      <c r="Y223">
        <v>1.34352292332343</v>
      </c>
      <c r="Z223">
        <v>1.33005950464762</v>
      </c>
      <c r="AA223">
        <v>1.31628664152446</v>
      </c>
      <c r="AB223">
        <v>1.30221689627602</v>
      </c>
      <c r="AC223">
        <v>1.28786359580742</v>
      </c>
      <c r="AD223">
        <v>1.27324081368733</v>
      </c>
      <c r="AE223">
        <v>1.25836334468898</v>
      </c>
      <c r="AF223">
        <v>1.24324667167216</v>
      </c>
      <c r="AG223">
        <v>1.22790692481236</v>
      </c>
      <c r="AH223">
        <v>1.21236083331754</v>
      </c>
      <c r="AI223">
        <v>1.19662566991336</v>
      </c>
      <c r="AJ223">
        <v>1.18071918851931</v>
      </c>
      <c r="AK223">
        <v>1.16465955567788</v>
      </c>
      <c r="AL223">
        <v>1.1484652764313</v>
      </c>
      <c r="AM223">
        <v>1.13215511546222</v>
      </c>
      <c r="AN223">
        <v>1.11574801442068</v>
      </c>
      <c r="AO223">
        <v>1.09926300644684</v>
      </c>
      <c r="AP223">
        <v>1.08271912896401</v>
      </c>
      <c r="AQ223" s="3"/>
    </row>
    <row r="224" spans="1:43">
      <c r="A224" s="1">
        <f t="shared" si="6"/>
        <v>120.5</v>
      </c>
      <c r="B224">
        <v>1.54965076547345</v>
      </c>
      <c r="C224">
        <v>1.54521196705468</v>
      </c>
      <c r="D224">
        <v>1.54035158903644</v>
      </c>
      <c r="E224">
        <v>1.5350702084468</v>
      </c>
      <c r="F224">
        <v>1.52936856483277</v>
      </c>
      <c r="G224">
        <v>1.52324758784122</v>
      </c>
      <c r="H224">
        <v>1.51670842670328</v>
      </c>
      <c r="I224">
        <v>1.50975248149908</v>
      </c>
      <c r="J224">
        <v>1.50238143605203</v>
      </c>
      <c r="K224">
        <v>1.49459729227122</v>
      </c>
      <c r="L224">
        <v>1.48640240572617</v>
      </c>
      <c r="M224">
        <v>1.47779952220206</v>
      </c>
      <c r="N224">
        <v>1.46879181494407</v>
      </c>
      <c r="O224">
        <v>1.45938292225903</v>
      </c>
      <c r="P224">
        <v>1.44957698510066</v>
      </c>
      <c r="Q224">
        <v>1.43937868422277</v>
      </c>
      <c r="R224">
        <v>1.42879327644399</v>
      </c>
      <c r="S224">
        <v>1.41782662952871</v>
      </c>
      <c r="T224">
        <v>1.40648525515423</v>
      </c>
      <c r="U224">
        <v>1.39477633940403</v>
      </c>
      <c r="V224">
        <v>1.38270777020438</v>
      </c>
      <c r="W224">
        <v>1.37028816110716</v>
      </c>
      <c r="X224">
        <v>1.35752687081784</v>
      </c>
      <c r="Y224">
        <v>1.34443401787529</v>
      </c>
      <c r="Z224">
        <v>1.33102048991153</v>
      </c>
      <c r="AA224">
        <v>1.31729794695527</v>
      </c>
      <c r="AB224">
        <v>1.30327881829416</v>
      </c>
      <c r="AC224">
        <v>1.28897629247786</v>
      </c>
      <c r="AD224">
        <v>1.27440430012629</v>
      </c>
      <c r="AE224">
        <v>1.25957748930527</v>
      </c>
      <c r="AF224">
        <v>1.24451119334284</v>
      </c>
      <c r="AG224">
        <v>1.22922139108211</v>
      </c>
      <c r="AH224">
        <v>1.21372465969851</v>
      </c>
      <c r="AI224">
        <v>1.19803812034656</v>
      </c>
      <c r="AJ224">
        <v>1.18217937704086</v>
      </c>
      <c r="AK224">
        <v>1.16616644931361</v>
      </c>
      <c r="AL224">
        <v>1.15001769932222</v>
      </c>
      <c r="AM224">
        <v>1.133751754201</v>
      </c>
      <c r="AN224">
        <v>1.11738742455735</v>
      </c>
      <c r="AO224">
        <v>1.10094362009995</v>
      </c>
      <c r="AP224">
        <v>1.08443926345297</v>
      </c>
      <c r="AQ224" s="3"/>
    </row>
    <row r="225" spans="1:43">
      <c r="A225" s="1">
        <f t="shared" si="6"/>
        <v>121</v>
      </c>
      <c r="B225">
        <v>1.5497381179429</v>
      </c>
      <c r="C225">
        <v>1.54531764170731</v>
      </c>
      <c r="D225">
        <v>1.54047731649565</v>
      </c>
      <c r="E225">
        <v>1.53521771222593</v>
      </c>
      <c r="F225">
        <v>1.5295395593394</v>
      </c>
      <c r="G225">
        <v>1.52344377604738</v>
      </c>
      <c r="H225">
        <v>1.51693149746109</v>
      </c>
      <c r="I225">
        <v>1.51000410648366</v>
      </c>
      <c r="J225">
        <v>1.50266326631678</v>
      </c>
      <c r="K225">
        <v>1.49491095440393</v>
      </c>
      <c r="L225">
        <v>1.48674949759906</v>
      </c>
      <c r="M225">
        <v>1.47818160831342</v>
      </c>
      <c r="N225">
        <v>1.46921042135524</v>
      </c>
      <c r="O225">
        <v>1.4598395311367</v>
      </c>
      <c r="P225">
        <v>1.45007302888153</v>
      </c>
      <c r="Q225">
        <v>1.43991553942568</v>
      </c>
      <c r="R225">
        <v>1.42937225716266</v>
      </c>
      <c r="S225">
        <v>1.41844898064757</v>
      </c>
      <c r="T225">
        <v>1.40715214533861</v>
      </c>
      <c r="U225">
        <v>1.39548885392584</v>
      </c>
      <c r="V225">
        <v>1.38346690367354</v>
      </c>
      <c r="W225">
        <v>1.37109481018828</v>
      </c>
      <c r="X225">
        <v>1.35838182702021</v>
      </c>
      <c r="Y225">
        <v>1.34533796051184</v>
      </c>
      <c r="Z225">
        <v>1.33197397932902</v>
      </c>
      <c r="AA225">
        <v>1.31830141814282</v>
      </c>
      <c r="AB225">
        <v>1.30433257498032</v>
      </c>
      <c r="AC225">
        <v>1.29008050182739</v>
      </c>
      <c r="AD225">
        <v>1.27555898814627</v>
      </c>
      <c r="AE225">
        <v>1.26078253706611</v>
      </c>
      <c r="AF225">
        <v>1.24576633411275</v>
      </c>
      <c r="AG225">
        <v>1.23052620846399</v>
      </c>
      <c r="AH225">
        <v>1.2150785868458</v>
      </c>
      <c r="AI225">
        <v>1.19944044031947</v>
      </c>
      <c r="AJ225">
        <v>1.18362922434715</v>
      </c>
      <c r="AK225">
        <v>1.16766281265896</v>
      </c>
      <c r="AL225">
        <v>1.15155942557419</v>
      </c>
      <c r="AM225">
        <v>1.13533755354944</v>
      </c>
      <c r="AN225">
        <v>1.1190158768319</v>
      </c>
      <c r="AO225">
        <v>1.10261318218415</v>
      </c>
      <c r="AP225">
        <v>1.08614827771378</v>
      </c>
      <c r="AQ225" s="3"/>
    </row>
    <row r="226" spans="1:43">
      <c r="A226" s="1">
        <f t="shared" si="6"/>
        <v>121.5</v>
      </c>
      <c r="B226">
        <v>1.54982475177944</v>
      </c>
      <c r="C226">
        <v>1.5454224471719</v>
      </c>
      <c r="D226">
        <v>1.540602010108</v>
      </c>
      <c r="E226">
        <v>1.535364003512</v>
      </c>
      <c r="F226">
        <v>1.52970914886817</v>
      </c>
      <c r="G226">
        <v>1.52363835313891</v>
      </c>
      <c r="H226">
        <v>1.51715273754559</v>
      </c>
      <c r="I226">
        <v>1.51025366809378</v>
      </c>
      <c r="J226">
        <v>1.5029427876981</v>
      </c>
      <c r="K226">
        <v>1.49522204973252</v>
      </c>
      <c r="L226">
        <v>1.48709375279873</v>
      </c>
      <c r="M226">
        <v>1.47856057647061</v>
      </c>
      <c r="N226">
        <v>1.46962561773475</v>
      </c>
      <c r="O226">
        <v>1.46029242780773</v>
      </c>
      <c r="P226">
        <v>1.45056504897077</v>
      </c>
      <c r="Q226">
        <v>1.44044805102141</v>
      </c>
      <c r="R226">
        <v>1.42994656690246</v>
      </c>
      <c r="S226">
        <v>1.41906632703055</v>
      </c>
      <c r="T226">
        <v>1.40781369181249</v>
      </c>
      <c r="U226">
        <v>1.39619568180827</v>
      </c>
      <c r="V226">
        <v>1.38422000497633</v>
      </c>
      <c r="W226">
        <v>1.37189508042232</v>
      </c>
      <c r="X226">
        <v>1.35923005806701</v>
      </c>
      <c r="Y226">
        <v>1.34623483365555</v>
      </c>
      <c r="Z226">
        <v>1.33292005854905</v>
      </c>
      <c r="AA226">
        <v>1.31929714377213</v>
      </c>
      <c r="AB226">
        <v>1.3053782578377</v>
      </c>
      <c r="AC226">
        <v>1.29117631793307</v>
      </c>
      <c r="AD226">
        <v>1.27670497412885</v>
      </c>
      <c r="AE226">
        <v>1.26197858636503</v>
      </c>
      <c r="AF226">
        <v>1.24701219407394</v>
      </c>
      <c r="AG226">
        <v>1.23182147841701</v>
      </c>
      <c r="AH226">
        <v>1.21642271723876</v>
      </c>
      <c r="AI226">
        <v>1.20083273297358</v>
      </c>
      <c r="AJ226">
        <v>1.18506883387591</v>
      </c>
      <c r="AK226">
        <v>1.16914874907802</v>
      </c>
      <c r="AL226">
        <v>1.15309055810808</v>
      </c>
      <c r="AM226">
        <v>1.13691261561993</v>
      </c>
      <c r="AN226">
        <v>1.1206334721915</v>
      </c>
      <c r="AO226">
        <v>1.10427179213699</v>
      </c>
      <c r="AP226">
        <v>1.08784626934615</v>
      </c>
      <c r="AQ226" s="3"/>
    </row>
    <row r="227" spans="1:43">
      <c r="A227" s="1">
        <f t="shared" si="6"/>
        <v>122</v>
      </c>
      <c r="B227">
        <v>1.54991067581357</v>
      </c>
      <c r="C227">
        <v>1.54552639412601</v>
      </c>
      <c r="D227">
        <v>1.54072568256929</v>
      </c>
      <c r="E227">
        <v>1.53550909718782</v>
      </c>
      <c r="F227">
        <v>1.52987735065461</v>
      </c>
      <c r="G227">
        <v>1.523831338866</v>
      </c>
      <c r="H227">
        <v>1.51737216937895</v>
      </c>
      <c r="I227">
        <v>1.51050119157519</v>
      </c>
      <c r="J227">
        <v>1.50322002841027</v>
      </c>
      <c r="K227">
        <v>1.49553060957665</v>
      </c>
      <c r="L227">
        <v>1.4874352058779</v>
      </c>
      <c r="M227">
        <v>1.4789364645764</v>
      </c>
      <c r="N227">
        <v>1.47003744544011</v>
      </c>
      <c r="O227">
        <v>1.46074165717538</v>
      </c>
      <c r="P227">
        <v>1.45105309389291</v>
      </c>
      <c r="Q227">
        <v>1.44097627121432</v>
      </c>
      <c r="R227">
        <v>1.43051626158729</v>
      </c>
      <c r="S227">
        <v>1.41967872834051</v>
      </c>
      <c r="T227">
        <v>1.40846995797517</v>
      </c>
      <c r="U227">
        <v>1.39689689016115</v>
      </c>
      <c r="V227">
        <v>1.38496714488255</v>
      </c>
      <c r="W227">
        <v>1.3726890461626</v>
      </c>
      <c r="X227">
        <v>1.36007164179199</v>
      </c>
      <c r="Y227">
        <v>1.34712471849022</v>
      </c>
      <c r="Z227">
        <v>1.33385881194753</v>
      </c>
      <c r="AA227">
        <v>1.32028521122582</v>
      </c>
      <c r="AB227">
        <v>1.3064159570433</v>
      </c>
      <c r="AC227">
        <v>1.29226383352785</v>
      </c>
      <c r="AD227">
        <v>1.27784235309979</v>
      </c>
      <c r="AE227">
        <v>1.26316573423457</v>
      </c>
      <c r="AF227">
        <v>1.248248871959</v>
      </c>
      <c r="AG227">
        <v>1.23310730104898</v>
      </c>
      <c r="AH227">
        <v>1.21775715202062</v>
      </c>
      <c r="AI227">
        <v>1.20221510013616</v>
      </c>
      <c r="AJ227">
        <v>1.18649830777894</v>
      </c>
      <c r="AK227">
        <v>1.17062436068355</v>
      </c>
      <c r="AL227">
        <v>1.15461119863387</v>
      </c>
      <c r="AM227">
        <v>1.13847704135986</v>
      </c>
      <c r="AN227">
        <v>1.12224031046901</v>
      </c>
      <c r="AO227">
        <v>1.10591954833674</v>
      </c>
      <c r="AP227">
        <v>1.08953333494911</v>
      </c>
      <c r="AQ227" s="3"/>
    </row>
    <row r="228" spans="1:43">
      <c r="A228" s="1">
        <f t="shared" si="6"/>
        <v>122.5</v>
      </c>
      <c r="B228">
        <v>1.54999589873168</v>
      </c>
      <c r="C228">
        <v>1.5456294930731</v>
      </c>
      <c r="D228">
        <v>1.54084834636839</v>
      </c>
      <c r="E228">
        <v>1.53565300789371</v>
      </c>
      <c r="F228">
        <v>1.53004418165365</v>
      </c>
      <c r="G228">
        <v>1.5240227526576</v>
      </c>
      <c r="H228">
        <v>1.51758981501901</v>
      </c>
      <c r="I228">
        <v>1.510746701764</v>
      </c>
      <c r="J228">
        <v>1.50349501621039</v>
      </c>
      <c r="K228">
        <v>1.49583666474947</v>
      </c>
      <c r="L228">
        <v>1.48777389083171</v>
      </c>
      <c r="M228">
        <v>1.47930930992339</v>
      </c>
      <c r="N228">
        <v>1.47044594516502</v>
      </c>
      <c r="O228">
        <v>1.46118726342455</v>
      </c>
      <c r="P228">
        <v>1.45153721139916</v>
      </c>
      <c r="Q228">
        <v>1.44150025138029</v>
      </c>
      <c r="R228">
        <v>1.43108139625785</v>
      </c>
      <c r="S228">
        <v>1.42028624330316</v>
      </c>
      <c r="T228">
        <v>1.40912100623612</v>
      </c>
      <c r="U228">
        <v>1.39759254505358</v>
      </c>
      <c r="V228">
        <v>1.38570839307262</v>
      </c>
      <c r="W228">
        <v>1.37347678062733</v>
      </c>
      <c r="X228">
        <v>1.36090665485141</v>
      </c>
      <c r="Y228">
        <v>1.34800769498369</v>
      </c>
      <c r="Z228">
        <v>1.33479032265036</v>
      </c>
      <c r="AA228">
        <v>1.32126570660738</v>
      </c>
      <c r="AB228">
        <v>1.30744576147116</v>
      </c>
      <c r="AC228">
        <v>1.29334314002367</v>
      </c>
      <c r="AD228">
        <v>1.27897121875188</v>
      </c>
      <c r="AE228">
        <v>1.26434407636867</v>
      </c>
      <c r="AF228">
        <v>1.24947646516283</v>
      </c>
      <c r="AG228">
        <v>1.23438377513766</v>
      </c>
      <c r="AH228">
        <v>1.2190819910189</v>
      </c>
      <c r="AI228">
        <v>1.20358764233955</v>
      </c>
      <c r="AJ228">
        <v>1.1879177469404</v>
      </c>
      <c r="AK228">
        <v>1.17208974835409</v>
      </c>
      <c r="AL228">
        <v>1.15612144766651</v>
      </c>
      <c r="AM228">
        <v>1.1400309305661</v>
      </c>
      <c r="AN228">
        <v>1.12383649039616</v>
      </c>
      <c r="AO228">
        <v>1.10755654811406</v>
      </c>
      <c r="AP228">
        <v>1.09120957013129</v>
      </c>
      <c r="AQ228" s="3"/>
    </row>
    <row r="229" spans="1:43">
      <c r="A229" s="1">
        <f t="shared" si="6"/>
        <v>123</v>
      </c>
      <c r="B229">
        <v>1.55008042907906</v>
      </c>
      <c r="C229">
        <v>1.54573175434599</v>
      </c>
      <c r="D229">
        <v>1.54097001379136</v>
      </c>
      <c r="E229">
        <v>1.53579575003243</v>
      </c>
      <c r="F229">
        <v>1.53020965854528</v>
      </c>
      <c r="G229">
        <v>1.5242126136279</v>
      </c>
      <c r="H229">
        <v>1.51780569616663</v>
      </c>
      <c r="I229">
        <v>1.51099022309488</v>
      </c>
      <c r="J229">
        <v>1.50376777840766</v>
      </c>
      <c r="K229">
        <v>1.4961402455678</v>
      </c>
      <c r="L229">
        <v>1.48810984110888</v>
      </c>
      <c r="M229">
        <v>1.47967914920626</v>
      </c>
      <c r="N229">
        <v>1.47085115695255</v>
      </c>
      <c r="O229">
        <v>1.46162929003603</v>
      </c>
      <c r="P229">
        <v>1.45201744848263</v>
      </c>
      <c r="Q229">
        <v>1.44202004208305</v>
      </c>
      <c r="R229">
        <v>1.43164202508888</v>
      </c>
      <c r="S229">
        <v>1.42088892972521</v>
      </c>
      <c r="T229">
        <v>1.40976689803399</v>
      </c>
      <c r="U229">
        <v>1.39828271153377</v>
      </c>
      <c r="V229">
        <v>1.38644381815824</v>
      </c>
      <c r="W229">
        <v>1.37425835592086</v>
      </c>
      <c r="X229">
        <v>1.36173517274585</v>
      </c>
      <c r="Y229">
        <v>1.34888384191009</v>
      </c>
      <c r="Z229">
        <v>1.33571467255598</v>
      </c>
      <c r="AA229">
        <v>1.32223871476385</v>
      </c>
      <c r="AB229">
        <v>1.30846775871513</v>
      </c>
      <c r="AC229">
        <v>1.29441432753412</v>
      </c>
      <c r="AD229">
        <v>1.28009166346736</v>
      </c>
      <c r="AE229">
        <v>1.26551370714474</v>
      </c>
      <c r="AF229">
        <v>1.2506950697642</v>
      </c>
      <c r="AG229">
        <v>1.2356509981516</v>
      </c>
      <c r="AH229">
        <v>1.22039733276526</v>
      </c>
      <c r="AI229">
        <v>1.2049504588402</v>
      </c>
      <c r="AJ229">
        <v>1.18932725099477</v>
      </c>
      <c r="AK229">
        <v>1.17354501175072</v>
      </c>
      <c r="AL229">
        <v>1.15762140454147</v>
      </c>
      <c r="AM229">
        <v>1.1415743818993</v>
      </c>
      <c r="AN229">
        <v>1.12542210961642</v>
      </c>
      <c r="AO229">
        <v>1.10918288776366</v>
      </c>
      <c r="AP229">
        <v>1.0928750695212</v>
      </c>
      <c r="AQ229" s="3"/>
    </row>
    <row r="230" spans="1:43">
      <c r="A230" s="1">
        <f t="shared" si="6"/>
        <v>123.5</v>
      </c>
      <c r="B230">
        <v>1.55016427526269</v>
      </c>
      <c r="C230">
        <v>1.54583318811037</v>
      </c>
      <c r="D230">
        <v>1.54109069692563</v>
      </c>
      <c r="E230">
        <v>1.53593733777399</v>
      </c>
      <c r="F230">
        <v>1.53037379774013</v>
      </c>
      <c r="G230">
        <v>1.52440094058264</v>
      </c>
      <c r="H230">
        <v>1.5180198341729</v>
      </c>
      <c r="I230">
        <v>1.51123177960917</v>
      </c>
      <c r="J230">
        <v>1.50403834187232</v>
      </c>
      <c r="K230">
        <v>1.49644138186205</v>
      </c>
      <c r="L230">
        <v>1.48844308962259</v>
      </c>
      <c r="M230">
        <v>1.48004601853366</v>
      </c>
      <c r="N230">
        <v>1.47125312020811</v>
      </c>
      <c r="O230">
        <v>1.46206777980044</v>
      </c>
      <c r="P230">
        <v>1.45249385139324</v>
      </c>
      <c r="Q230">
        <v>1.44253569309002</v>
      </c>
      <c r="R230">
        <v>1.432198201406</v>
      </c>
      <c r="S230">
        <v>1.42148684451213</v>
      </c>
      <c r="T230">
        <v>1.41040769385528</v>
      </c>
      <c r="U230">
        <v>1.39896745364847</v>
      </c>
      <c r="V230">
        <v>1.38717348770252</v>
      </c>
      <c r="W230">
        <v>1.3750338430545</v>
      </c>
      <c r="X230">
        <v>1.36255726984154</v>
      </c>
      <c r="Y230">
        <v>1.34975323687157</v>
      </c>
      <c r="Z230">
        <v>1.33663194235745</v>
      </c>
      <c r="AA230">
        <v>1.32320431930811</v>
      </c>
      <c r="AB230">
        <v>1.30948203511119</v>
      </c>
      <c r="AC230">
        <v>1.29547748489667</v>
      </c>
      <c r="AD230">
        <v>1.28120377833989</v>
      </c>
      <c r="AE230">
        <v>1.2666747196452</v>
      </c>
      <c r="AF230">
        <v>1.25190478054682</v>
      </c>
      <c r="AG230">
        <v>1.23690906627048</v>
      </c>
      <c r="AH230">
        <v>1.22170327451524</v>
      </c>
      <c r="AI230">
        <v>1.20630364763741</v>
      </c>
      <c r="AJ230">
        <v>1.19072691834456</v>
      </c>
      <c r="AK230">
        <v>1.17499024933374</v>
      </c>
      <c r="AL230">
        <v>1.15911116743019</v>
      </c>
      <c r="AM230">
        <v>1.14310749289803</v>
      </c>
      <c r="AN230">
        <v>1.12699726469794</v>
      </c>
      <c r="AO230">
        <v>1.11079866255576</v>
      </c>
      <c r="AP230">
        <v>1.09452992677731</v>
      </c>
      <c r="AQ230" s="3"/>
    </row>
    <row r="231" spans="1:43">
      <c r="A231" s="1">
        <f t="shared" si="6"/>
        <v>124</v>
      </c>
      <c r="B231">
        <v>1.55024744555406</v>
      </c>
      <c r="C231">
        <v>1.54593380436812</v>
      </c>
      <c r="D231">
        <v>1.54121040766394</v>
      </c>
      <c r="E231">
        <v>1.53607778506029</v>
      </c>
      <c r="F231">
        <v>1.53053661538485</v>
      </c>
      <c r="G231">
        <v>1.52458775202536</v>
      </c>
      <c r="H231">
        <v>1.51823225004611</v>
      </c>
      <c r="I231">
        <v>1.51147139496273</v>
      </c>
      <c r="J231">
        <v>1.50430673304445</v>
      </c>
      <c r="K231">
        <v>1.49674010298593</v>
      </c>
      <c r="L231">
        <v>1.48877366876117</v>
      </c>
      <c r="M231">
        <v>1.48040995343981</v>
      </c>
      <c r="N231">
        <v>1.47165187371199</v>
      </c>
      <c r="O231">
        <v>1.46250277483179</v>
      </c>
      <c r="P231">
        <v>1.45296646565231</v>
      </c>
      <c r="Q231">
        <v>1.44304725338788</v>
      </c>
      <c r="R231">
        <v>1.43274997770218</v>
      </c>
      <c r="S231">
        <v>1.42208004368554</v>
      </c>
      <c r="T231">
        <v>1.41104345325252</v>
      </c>
      <c r="U231">
        <v>1.39964683446198</v>
      </c>
      <c r="V231">
        <v>1.38789746823968</v>
      </c>
      <c r="W231">
        <v>1.37580331196685</v>
      </c>
      <c r="X231">
        <v>1.36337301939127</v>
      </c>
      <c r="Y231">
        <v>1.35061595631967</v>
      </c>
      <c r="Z231">
        <v>1.33754221156408</v>
      </c>
      <c r="AA231">
        <v>1.32416260264068</v>
      </c>
      <c r="AB231">
        <v>1.31048867575929</v>
      </c>
      <c r="AC231">
        <v>1.29653269969444</v>
      </c>
      <c r="AD231">
        <v>1.28230765319611</v>
      </c>
      <c r="AE231">
        <v>1.26782720567875</v>
      </c>
      <c r="AF231">
        <v>1.25310569102</v>
      </c>
      <c r="AG231">
        <v>1.23815807440527</v>
      </c>
      <c r="AH231">
        <v>1.22299991226752</v>
      </c>
      <c r="AI231">
        <v>1.20764730549174</v>
      </c>
      <c r="AJ231">
        <v>1.19211684617778</v>
      </c>
      <c r="AK231">
        <v>1.17642555837898</v>
      </c>
      <c r="AL231">
        <v>1.16059083335523</v>
      </c>
      <c r="AM231">
        <v>1.14463035999274</v>
      </c>
      <c r="AN231">
        <v>1.12856205114615</v>
      </c>
      <c r="AO231">
        <v>1.11240396674748</v>
      </c>
      <c r="AP231">
        <v>1.09617423459819</v>
      </c>
      <c r="AQ231" s="3"/>
    </row>
    <row r="232" spans="1:43">
      <c r="A232" s="1">
        <f t="shared" si="6"/>
        <v>124.5</v>
      </c>
      <c r="B232">
        <v>1.55032994809187</v>
      </c>
      <c r="C232">
        <v>1.54603361296062</v>
      </c>
      <c r="D232">
        <v>1.54132915770825</v>
      </c>
      <c r="E232">
        <v>1.53621710560973</v>
      </c>
      <c r="F232">
        <v>1.53069812736739</v>
      </c>
      <c r="G232">
        <v>1.52477306616339</v>
      </c>
      <c r="H232">
        <v>1.51844296445865</v>
      </c>
      <c r="I232">
        <v>1.51170909243363</v>
      </c>
      <c r="J232">
        <v>1.5045729779425</v>
      </c>
      <c r="K232">
        <v>1.49703643782589</v>
      </c>
      <c r="L232">
        <v>1.48910161039848</v>
      </c>
      <c r="M232">
        <v>1.48077098889586</v>
      </c>
      <c r="N232">
        <v>1.4720474556317</v>
      </c>
      <c r="O232">
        <v>1.46293431658075</v>
      </c>
      <c r="P232">
        <v>1.45343533606678</v>
      </c>
      <c r="Q232">
        <v>1.44355477119771</v>
      </c>
      <c r="R232">
        <v>1.43329740565381</v>
      </c>
      <c r="S232">
        <v>1.42266858240014</v>
      </c>
      <c r="T232">
        <v>1.41167423486205</v>
      </c>
      <c r="U232">
        <v>1.40032091607469</v>
      </c>
      <c r="V232">
        <v>1.38861582529436</v>
      </c>
      <c r="W232">
        <v>1.37656683154368</v>
      </c>
      <c r="X232">
        <v>1.36418249355474</v>
      </c>
      <c r="Y232">
        <v>1.35147207557611</v>
      </c>
      <c r="Z232">
        <v>1.33844555852255</v>
      </c>
      <c r="AA232">
        <v>1.32511364597106</v>
      </c>
      <c r="AB232">
        <v>1.31148776454479</v>
      </c>
      <c r="AC232">
        <v>1.29758005827757</v>
      </c>
      <c r="AD232">
        <v>1.28340337661683</v>
      </c>
      <c r="AE232">
        <v>1.26897125580114</v>
      </c>
      <c r="AF232">
        <v>1.25429789343903</v>
      </c>
      <c r="AG232">
        <v>1.23939811621793</v>
      </c>
      <c r="AH232">
        <v>1.22428734078293</v>
      </c>
      <c r="AI232">
        <v>1.2089815279432</v>
      </c>
      <c r="AJ232">
        <v>1.1934971304851</v>
      </c>
      <c r="AK232">
        <v>1.17785103499397</v>
      </c>
      <c r="AL232">
        <v>1.16206049820535</v>
      </c>
      <c r="AM232">
        <v>1.14614307851963</v>
      </c>
      <c r="AN232">
        <v>1.13011656341642</v>
      </c>
      <c r="AO232">
        <v>1.11399889359416</v>
      </c>
      <c r="AP232">
        <v>1.09780808473246</v>
      </c>
      <c r="AQ232" s="3"/>
    </row>
    <row r="233" spans="1:43">
      <c r="A233" s="1">
        <f t="shared" si="6"/>
        <v>125</v>
      </c>
      <c r="B233">
        <v>1.55041179088471</v>
      </c>
      <c r="C233">
        <v>1.54613262357193</v>
      </c>
      <c r="D233">
        <v>1.54144695857358</v>
      </c>
      <c r="E233">
        <v>1.53635531292165</v>
      </c>
      <c r="F233">
        <v>1.53085834932221</v>
      </c>
      <c r="G233">
        <v>1.52495690091378</v>
      </c>
      <c r="H233">
        <v>1.51865199775364</v>
      </c>
      <c r="I233">
        <v>1.51194489492967</v>
      </c>
      <c r="J233">
        <v>1.50483710217167</v>
      </c>
      <c r="K233">
        <v>1.4973304148104</v>
      </c>
      <c r="L233">
        <v>1.48942694590408</v>
      </c>
      <c r="M233">
        <v>1.48112915932099</v>
      </c>
      <c r="N233">
        <v>1.47243990353398</v>
      </c>
      <c r="O233">
        <v>1.46336244584761</v>
      </c>
      <c r="P233">
        <v>1.45390050674307</v>
      </c>
      <c r="Q233">
        <v>1.44405829398979</v>
      </c>
      <c r="R233">
        <v>1.43384053613644</v>
      </c>
      <c r="S233">
        <v>1.42325251496029</v>
      </c>
      <c r="T233">
        <v>1.41230009642147</v>
      </c>
      <c r="U233">
        <v>1.40098975964126</v>
      </c>
      <c r="V233">
        <v>1.3893286234004</v>
      </c>
      <c r="W233">
        <v>1.3773244696374</v>
      </c>
      <c r="X233">
        <v>1.36498576341863</v>
      </c>
      <c r="Y233">
        <v>1.35232166885323</v>
      </c>
      <c r="Z233">
        <v>1.33934206043767</v>
      </c>
      <c r="AA233">
        <v>1.32605752933865</v>
      </c>
      <c r="AB233">
        <v>1.31247938415944</v>
      </c>
      <c r="AC233">
        <v>1.29861964578414</v>
      </c>
      <c r="AD233">
        <v>1.28449103595771</v>
      </c>
      <c r="AE233">
        <v>1.2701069593356</v>
      </c>
      <c r="AF233">
        <v>1.25548147882516</v>
      </c>
      <c r="AG233">
        <v>1.24062928414075</v>
      </c>
      <c r="AH233">
        <v>1.22556565360314</v>
      </c>
      <c r="AI233">
        <v>1.21030640932906</v>
      </c>
      <c r="AJ233">
        <v>1.19486786607681</v>
      </c>
      <c r="AK233">
        <v>1.17926677413381</v>
      </c>
      <c r="AL233">
        <v>1.16352025675023</v>
      </c>
      <c r="AM233">
        <v>1.14764574273421</v>
      </c>
      <c r="AN233">
        <v>1.13166089492643</v>
      </c>
      <c r="AO233">
        <v>1.11558353536055</v>
      </c>
      <c r="AP233">
        <v>1.0994315679888</v>
      </c>
      <c r="AQ233" s="3"/>
    </row>
    <row r="234" spans="1:43">
      <c r="A234" s="1">
        <f t="shared" si="6"/>
        <v>125.5</v>
      </c>
      <c r="B234">
        <v>1.5504929818136</v>
      </c>
      <c r="C234">
        <v>1.54623084573198</v>
      </c>
      <c r="D234">
        <v>1.5415638215917</v>
      </c>
      <c r="E234">
        <v>1.53649242028067</v>
      </c>
      <c r="F234">
        <v>1.53101729663525</v>
      </c>
      <c r="G234">
        <v>1.52513927390904</v>
      </c>
      <c r="H234">
        <v>1.51885936995147</v>
      </c>
      <c r="I234">
        <v>1.51217882499568</v>
      </c>
      <c r="J234">
        <v>1.50509913093208</v>
      </c>
      <c r="K234">
        <v>1.49762206191896</v>
      </c>
      <c r="L234">
        <v>1.48974970615309</v>
      </c>
      <c r="M234">
        <v>1.48148449859318</v>
      </c>
      <c r="N234">
        <v>1.47282925439654</v>
      </c>
      <c r="O234">
        <v>1.46378720279494</v>
      </c>
      <c r="P234">
        <v>1.45436202110071</v>
      </c>
      <c r="Q234">
        <v>1.44455786849812</v>
      </c>
      <c r="R234">
        <v>1.43437941924009</v>
      </c>
      <c r="S234">
        <v>1.42383189483621</v>
      </c>
      <c r="T234">
        <v>1.41292109478657</v>
      </c>
      <c r="U234">
        <v>1.40165342538836</v>
      </c>
      <c r="V234">
        <v>1.39003592611935</v>
      </c>
      <c r="W234">
        <v>1.37807629308609</v>
      </c>
      <c r="X234">
        <v>1.36578289901607</v>
      </c>
      <c r="Y234">
        <v>1.35316480927394</v>
      </c>
      <c r="Z234">
        <v>1.34023179339265</v>
      </c>
      <c r="AA234">
        <v>1.32699433163328</v>
      </c>
      <c r="AB234">
        <v>1.31346361612195</v>
      </c>
      <c r="AC234">
        <v>1.29965154616069</v>
      </c>
      <c r="AD234">
        <v>1.28557071736967</v>
      </c>
      <c r="AE234">
        <v>1.27123440439289</v>
      </c>
      <c r="AF234">
        <v>1.25665653698514</v>
      </c>
      <c r="AG234">
        <v>1.24185166939549</v>
      </c>
      <c r="AH234">
        <v>1.22683494306902</v>
      </c>
      <c r="AI234">
        <v>1.21162204280148</v>
      </c>
      <c r="AJ234">
        <v>1.19622914659948</v>
      </c>
      <c r="AK234">
        <v>1.18067286961691</v>
      </c>
      <c r="AL234">
        <v>1.16497020265517</v>
      </c>
      <c r="AM234">
        <v>1.14913844582488</v>
      </c>
      <c r="AN234">
        <v>1.13319513806851</v>
      </c>
      <c r="AO234">
        <v>1.11715798333187</v>
      </c>
      <c r="AP234">
        <v>1.10104477424573</v>
      </c>
      <c r="AQ234" s="3"/>
    </row>
    <row r="235" spans="1:43">
      <c r="A235" s="1">
        <f t="shared" si="6"/>
        <v>126</v>
      </c>
      <c r="B235">
        <v>1.55057352863458</v>
      </c>
      <c r="C235">
        <v>1.54632828881954</v>
      </c>
      <c r="D235">
        <v>1.54167975791476</v>
      </c>
      <c r="E235">
        <v>1.53662844076098</v>
      </c>
      <c r="F235">
        <v>1.53117498444889</v>
      </c>
      <c r="G235">
        <v>1.52532020250279</v>
      </c>
      <c r="H235">
        <v>1.51906510075621</v>
      </c>
      <c r="I235">
        <v>1.51241090482068</v>
      </c>
      <c r="J235">
        <v>1.5053590890267</v>
      </c>
      <c r="K235">
        <v>1.49791140669091</v>
      </c>
      <c r="L235">
        <v>1.49006992153594</v>
      </c>
      <c r="M235">
        <v>1.48183704005982</v>
      </c>
      <c r="N235">
        <v>1.47321554461948</v>
      </c>
      <c r="O235">
        <v>1.46420862695996</v>
      </c>
      <c r="P235">
        <v>1.45481992188553</v>
      </c>
      <c r="Q235">
        <v>1.44505354073451</v>
      </c>
      <c r="R235">
        <v>1.43491410428427</v>
      </c>
      <c r="S235">
        <v>1.42440677467982</v>
      </c>
      <c r="T235">
        <v>1.41353728594798</v>
      </c>
      <c r="U235">
        <v>1.40231197263199</v>
      </c>
      <c r="V235">
        <v>1.39073779605843</v>
      </c>
      <c r="W235">
        <v>1.37882236773214</v>
      </c>
      <c r="X235">
        <v>1.36657396934584</v>
      </c>
      <c r="Y235">
        <v>1.35400156889128</v>
      </c>
      <c r="Z235">
        <v>1.341114832369</v>
      </c>
      <c r="AA235">
        <v>1.32792413061521</v>
      </c>
      <c r="AB235">
        <v>1.31444054079816</v>
      </c>
      <c r="AC235">
        <v>1.30067584218236</v>
      </c>
      <c r="AD235">
        <v>1.28664250581882</v>
      </c>
      <c r="AE235">
        <v>1.27235367789099</v>
      </c>
      <c r="AF235">
        <v>1.25782315653058</v>
      </c>
      <c r="AG235">
        <v>1.24306536201203</v>
      </c>
      <c r="AH235">
        <v>1.22809530033869</v>
      </c>
      <c r="AI235">
        <v>1.21292852034474</v>
      </c>
      <c r="AJ235">
        <v>1.19758106455238</v>
      </c>
      <c r="AK235">
        <v>1.18206941414042</v>
      </c>
      <c r="AL235">
        <v>1.16641042849547</v>
      </c>
      <c r="AM235">
        <v>1.15062127992618</v>
      </c>
      <c r="AN235">
        <v>1.13471938422179</v>
      </c>
      <c r="AO235">
        <v>1.11872232782485</v>
      </c>
      <c r="AP235">
        <v>1.10264779246147</v>
      </c>
      <c r="AQ235" s="3"/>
    </row>
    <row r="236" spans="1:43">
      <c r="A236" s="1">
        <f t="shared" si="6"/>
        <v>126.5</v>
      </c>
      <c r="B236">
        <v>1.55065343898114</v>
      </c>
      <c r="C236">
        <v>1.54642496206528</v>
      </c>
      <c r="D236">
        <v>1.54179477851885</v>
      </c>
      <c r="E236">
        <v>1.53676338723046</v>
      </c>
      <c r="F236">
        <v>1.53133142766671</v>
      </c>
      <c r="G236">
        <v>1.52549970377521</v>
      </c>
      <c r="H236">
        <v>1.51926920956175</v>
      </c>
      <c r="I236">
        <v>1.51264115624488</v>
      </c>
      <c r="J236">
        <v>1.50561700086917</v>
      </c>
      <c r="K236">
        <v>1.49819847623401</v>
      </c>
      <c r="L236">
        <v>1.49038762196779</v>
      </c>
      <c r="M236">
        <v>1.48218681654799</v>
      </c>
      <c r="N236">
        <v>1.47359881003657</v>
      </c>
      <c r="O236">
        <v>1.46462675726659</v>
      </c>
      <c r="P236">
        <v>1.45527425118267</v>
      </c>
      <c r="Q236">
        <v>1.44554535600244</v>
      </c>
      <c r="R236">
        <v>1.43544463983267</v>
      </c>
      <c r="S236">
        <v>1.42497720634022</v>
      </c>
      <c r="T236">
        <v>1.41414872504745</v>
      </c>
      <c r="U236">
        <v>1.40296545979452</v>
      </c>
      <c r="V236">
        <v>1.39143429488818</v>
      </c>
      <c r="W236">
        <v>1.37956275844044</v>
      </c>
      <c r="X236">
        <v>1.36735904239106</v>
      </c>
      <c r="Y236">
        <v>1.35483201870759</v>
      </c>
      <c r="Z236">
        <v>1.34199125126592</v>
      </c>
      <c r="AA236">
        <v>1.32884700293488</v>
      </c>
      <c r="AB236">
        <v>1.31541023742079</v>
      </c>
      <c r="AC236">
        <v>1.30169261547264</v>
      </c>
      <c r="AD236">
        <v>1.28770648510607</v>
      </c>
      <c r="AE236">
        <v>1.27346486557437</v>
      </c>
      <c r="AF236">
        <v>1.25898142489678</v>
      </c>
      <c r="AG236">
        <v>1.24427045084678</v>
      </c>
      <c r="AH236">
        <v>1.22934681540531</v>
      </c>
      <c r="AI236">
        <v>1.21422593279232</v>
      </c>
      <c r="AJ236">
        <v>1.19892371130369</v>
      </c>
      <c r="AK236">
        <v>1.18345649929549</v>
      </c>
      <c r="AL236">
        <v>1.16784102577069</v>
      </c>
      <c r="AM236">
        <v>1.152094336132</v>
      </c>
      <c r="AN236">
        <v>1.13623372376428</v>
      </c>
      <c r="AO236">
        <v>1.12027665819858</v>
      </c>
      <c r="AP236">
        <v>1.1042407106836</v>
      </c>
      <c r="AQ236" s="3"/>
    </row>
    <row r="237" spans="1:43">
      <c r="A237" s="1">
        <f t="shared" si="6"/>
        <v>127</v>
      </c>
      <c r="B237">
        <v>1.55073272036663</v>
      </c>
      <c r="C237">
        <v>1.54652087455462</v>
      </c>
      <c r="D237">
        <v>1.54190889420745</v>
      </c>
      <c r="E237">
        <v>1.53689727235472</v>
      </c>
      <c r="F237">
        <v>1.53148664095821</v>
      </c>
      <c r="G237">
        <v>1.52567779453842</v>
      </c>
      <c r="H237">
        <v>1.51947171545794</v>
      </c>
      <c r="I237">
        <v>1.51286960076649</v>
      </c>
      <c r="J237">
        <v>1.50587289049139</v>
      </c>
      <c r="K237">
        <v>1.49848329723292</v>
      </c>
      <c r="L237">
        <v>1.49070283689773</v>
      </c>
      <c r="M237">
        <v>1.4825338603746</v>
      </c>
      <c r="N237">
        <v>1.47397908592609</v>
      </c>
      <c r="O237">
        <v>1.46504163203727</v>
      </c>
      <c r="P237">
        <v>1.4557250504292</v>
      </c>
      <c r="Q237">
        <v>1.44603335891054</v>
      </c>
      <c r="R237">
        <v>1.43597107370745</v>
      </c>
      <c r="S237">
        <v>1.42554324087878</v>
      </c>
      <c r="T237">
        <v>1.41475546639367</v>
      </c>
      <c r="U237">
        <v>1.40361394442122</v>
      </c>
      <c r="V237">
        <v>1.39212548335972</v>
      </c>
      <c r="W237">
        <v>1.38029752911621</v>
      </c>
      <c r="X237">
        <v>1.36813818513751</v>
      </c>
      <c r="Y237">
        <v>1.3556562286932</v>
      </c>
      <c r="Z237">
        <v>1.34286112291943</v>
      </c>
      <c r="AA237">
        <v>1.32976302415209</v>
      </c>
      <c r="AB237">
        <v>1.3163727841088</v>
      </c>
      <c r="AC237">
        <v>1.30270194652266</v>
      </c>
      <c r="AD237">
        <v>1.28876273788632</v>
      </c>
      <c r="AE237">
        <v>1.27456805203301</v>
      </c>
      <c r="AF237">
        <v>1.26013142836135</v>
      </c>
      <c r="AG237">
        <v>1.24546702360079</v>
      </c>
      <c r="AH237">
        <v>1.23058957711456</v>
      </c>
      <c r="AI237">
        <v>1.21551436984363</v>
      </c>
      <c r="AJ237">
        <v>1.20025717710641</v>
      </c>
      <c r="AK237">
        <v>1.18483421558231</v>
      </c>
      <c r="AL237">
        <v>1.1692620849187</v>
      </c>
      <c r="AM237">
        <v>1.15355770450857</v>
      </c>
      <c r="AN237">
        <v>1.13773824608474</v>
      </c>
      <c r="AO237">
        <v>1.12182106286529</v>
      </c>
      <c r="AP237">
        <v>1.10582361605871</v>
      </c>
      <c r="AQ237" s="3"/>
    </row>
    <row r="238" spans="1:43">
      <c r="A238" s="1">
        <f t="shared" si="6"/>
        <v>127.5</v>
      </c>
      <c r="B238">
        <v>1.55081138018663</v>
      </c>
      <c r="C238">
        <v>1.54661603523062</v>
      </c>
      <c r="D238">
        <v>1.54202211561479</v>
      </c>
      <c r="E238">
        <v>1.5370301086011</v>
      </c>
      <c r="F238">
        <v>1.53164063876337</v>
      </c>
      <c r="G238">
        <v>1.52585449134174</v>
      </c>
      <c r="H238">
        <v>1.51967263723649</v>
      </c>
      <c r="I238">
        <v>1.51309625954836</v>
      </c>
      <c r="J238">
        <v>1.5061267815509</v>
      </c>
      <c r="K238">
        <v>1.49876589595732</v>
      </c>
      <c r="L238">
        <v>1.49101559531789</v>
      </c>
      <c r="M238">
        <v>1.48287820335617</v>
      </c>
      <c r="N238">
        <v>1.47435640702159</v>
      </c>
      <c r="O238">
        <v>1.4654532890045</v>
      </c>
      <c r="P238">
        <v>1.45617236042652</v>
      </c>
      <c r="Q238">
        <v>1.4465175933858</v>
      </c>
      <c r="R238">
        <v>1.43649345300326</v>
      </c>
      <c r="S238">
        <v>1.42610492858399</v>
      </c>
      <c r="T238">
        <v>1.41535756347786</v>
      </c>
      <c r="U238">
        <v>1.40425748319651</v>
      </c>
      <c r="V238">
        <v>1.3928114213216</v>
      </c>
      <c r="W238">
        <v>1.38102674272247</v>
      </c>
      <c r="X238">
        <v>1.36891146359162</v>
      </c>
      <c r="Y238">
        <v>1.35647426780482</v>
      </c>
      <c r="Z238">
        <v>1.343724519121</v>
      </c>
      <c r="AA238">
        <v>1.33067226875495</v>
      </c>
      <c r="AB238">
        <v>1.31732825788639</v>
      </c>
      <c r="AC238">
        <v>1.30370391471023</v>
      </c>
      <c r="AD238">
        <v>1.28981134568731</v>
      </c>
      <c r="AE238">
        <v>1.27566332072094</v>
      </c>
      <c r="AF238">
        <v>1.26127325206247</v>
      </c>
      <c r="AG238">
        <v>1.24665516683751</v>
      </c>
      <c r="AH238">
        <v>1.23182367318178</v>
      </c>
      <c r="AI238">
        <v>1.21679392008049</v>
      </c>
      <c r="AJ238">
        <v>1.20158155111407</v>
      </c>
      <c r="AK238">
        <v>1.1862026524249</v>
      </c>
      <c r="AL238">
        <v>1.17067369532954</v>
      </c>
      <c r="AM238">
        <v>1.15501147410732</v>
      </c>
      <c r="AN238">
        <v>1.13923303959448</v>
      </c>
      <c r="AO238">
        <v>1.12335562930108</v>
      </c>
      <c r="AP238">
        <v>1.107396594842</v>
      </c>
      <c r="AQ238" s="3"/>
    </row>
    <row r="239" spans="1:43">
      <c r="A239" s="1">
        <f t="shared" si="6"/>
        <v>128</v>
      </c>
      <c r="B239">
        <v>1.55088942572124</v>
      </c>
      <c r="C239">
        <v>1.54671045289675</v>
      </c>
      <c r="D239">
        <v>1.54213445320919</v>
      </c>
      <c r="E239">
        <v>1.53716190824248</v>
      </c>
      <c r="F239">
        <v>1.53179343529714</v>
      </c>
      <c r="G239">
        <v>1.52602981047674</v>
      </c>
      <c r="H239">
        <v>1.51987199339676</v>
      </c>
      <c r="I239">
        <v>1.51332115342451</v>
      </c>
      <c r="J239">
        <v>1.50637869733821</v>
      </c>
      <c r="K239">
        <v>1.49904629826998</v>
      </c>
      <c r="L239">
        <v>1.49132592577215</v>
      </c>
      <c r="M239">
        <v>1.48321987681849</v>
      </c>
      <c r="N239">
        <v>1.47473080752232</v>
      </c>
      <c r="O239">
        <v>1.46586176532207</v>
      </c>
      <c r="P239">
        <v>1.45661622135243</v>
      </c>
      <c r="Q239">
        <v>1.44699810268647</v>
      </c>
      <c r="R239">
        <v>1.43701182410097</v>
      </c>
      <c r="S239">
        <v>1.42666231898588</v>
      </c>
      <c r="T239">
        <v>1.41595506898894</v>
      </c>
      <c r="U239">
        <v>1.40489613195987</v>
      </c>
      <c r="V239">
        <v>1.39349216773632</v>
      </c>
      <c r="W239">
        <v>1.38175046129709</v>
      </c>
      <c r="X239">
        <v>1.36967894279796</v>
      </c>
      <c r="Y239">
        <v>1.35728620400349</v>
      </c>
      <c r="Z239">
        <v>1.34458151063581</v>
      </c>
      <c r="AA239">
        <v>1.33157481017835</v>
      </c>
      <c r="AB239">
        <v>1.31827673470162</v>
      </c>
      <c r="AC239">
        <v>1.30469859831841</v>
      </c>
      <c r="AD239">
        <v>1.29085238892815</v>
      </c>
      <c r="AE239">
        <v>1.27675075397455</v>
      </c>
      <c r="AF239">
        <v>1.26240698001677</v>
      </c>
      <c r="AG239">
        <v>1.24783496600023</v>
      </c>
      <c r="AH239">
        <v>1.23304919020891</v>
      </c>
      <c r="AI239">
        <v>1.21806467098338</v>
      </c>
      <c r="AJ239">
        <v>1.20289692139618</v>
      </c>
      <c r="AK239">
        <v>1.18756189818577</v>
      </c>
      <c r="AL239">
        <v>1.17207594535908</v>
      </c>
      <c r="AM239">
        <v>1.15645573297753</v>
      </c>
      <c r="AN239">
        <v>1.14071819173903</v>
      </c>
      <c r="AO239">
        <v>1.12488044405642</v>
      </c>
      <c r="AP239">
        <v>1.10895973240666</v>
      </c>
      <c r="AQ239" s="3"/>
    </row>
    <row r="240" spans="1:43">
      <c r="A240" s="1">
        <f t="shared" si="6"/>
        <v>128.5</v>
      </c>
      <c r="B240">
        <v>1.55096686413733</v>
      </c>
      <c r="C240">
        <v>1.54680413621957</v>
      </c>
      <c r="D240">
        <v>1.54224591729627</v>
      </c>
      <c r="E240">
        <v>1.53729268336111</v>
      </c>
      <c r="F240">
        <v>1.53194504455376</v>
      </c>
      <c r="G240">
        <v>1.52620376798231</v>
      </c>
      <c r="H240">
        <v>1.52006980215144</v>
      </c>
      <c r="I240">
        <v>1.51354430290649</v>
      </c>
      <c r="J240">
        <v>1.50662866078382</v>
      </c>
      <c r="K240">
        <v>1.49932452963462</v>
      </c>
      <c r="L240">
        <v>1.49163385636483</v>
      </c>
      <c r="M240">
        <v>1.48355891160601</v>
      </c>
      <c r="N240">
        <v>1.47510232110339</v>
      </c>
      <c r="O240">
        <v>1.46626709757609</v>
      </c>
      <c r="P240">
        <v>1.45705667277295</v>
      </c>
      <c r="Q240">
        <v>1.44747492941466</v>
      </c>
      <c r="R240">
        <v>1.437526232681</v>
      </c>
      <c r="S240">
        <v>1.42721546087016</v>
      </c>
      <c r="T240">
        <v>1.4165480348284</v>
      </c>
      <c r="U240">
        <v>1.40552994572132</v>
      </c>
      <c r="V240">
        <v>1.39416778069647</v>
      </c>
      <c r="W240">
        <v>1.38246874596949</v>
      </c>
      <c r="X240">
        <v>1.37044068685647</v>
      </c>
      <c r="Y240">
        <v>1.35809210427216</v>
      </c>
      <c r="Z240">
        <v>1.34543216722071</v>
      </c>
      <c r="AA240">
        <v>1.33247072082207</v>
      </c>
      <c r="AB240">
        <v>1.31921828944459</v>
      </c>
      <c r="AC240">
        <v>1.30568607455378</v>
      </c>
      <c r="AD240">
        <v>1.29188594693742</v>
      </c>
      <c r="AE240">
        <v>1.27783043303052</v>
      </c>
      <c r="AF240">
        <v>1.26353269513697</v>
      </c>
      <c r="AG240">
        <v>1.24900650542929</v>
      </c>
      <c r="AH240">
        <v>1.23426621370109</v>
      </c>
      <c r="AI240">
        <v>1.21932670894741</v>
      </c>
      <c r="AJ240">
        <v>1.20420337495347</v>
      </c>
      <c r="AK240">
        <v>1.18891204018027</v>
      </c>
      <c r="AL240">
        <v>1.17346892234258</v>
      </c>
      <c r="AM240">
        <v>1.15789056817893</v>
      </c>
      <c r="AN240">
        <v>1.14219378900964</v>
      </c>
      <c r="AO240">
        <v>1.12639559276669</v>
      </c>
      <c r="AP240">
        <v>1.1105131132534</v>
      </c>
      <c r="AQ240" s="3"/>
    </row>
    <row r="241" spans="1:43">
      <c r="A241" s="1">
        <f t="shared" si="6"/>
        <v>129</v>
      </c>
      <c r="B241">
        <v>1.55104370249071</v>
      </c>
      <c r="C241">
        <v>1.54689709373142</v>
      </c>
      <c r="D241">
        <v>1.54235651802207</v>
      </c>
      <c r="E241">
        <v>1.53742244585226</v>
      </c>
      <c r="F241">
        <v>1.53209548031105</v>
      </c>
      <c r="G241">
        <v>1.52637637964947</v>
      </c>
      <c r="H241">
        <v>1.52026608143205</v>
      </c>
      <c r="I241">
        <v>1.51376572818957</v>
      </c>
      <c r="J241">
        <v>1.50687669446513</v>
      </c>
      <c r="K241">
        <v>1.49960061512349</v>
      </c>
      <c r="L241">
        <v>1.49193941476905</v>
      </c>
      <c r="M241">
        <v>1.48389533809104</v>
      </c>
      <c r="N241">
        <v>1.47547098092579</v>
      </c>
      <c r="O241">
        <v>1.46666932179579</v>
      </c>
      <c r="P241">
        <v>1.45749375365385</v>
      </c>
      <c r="Q241">
        <v>1.44794811552868</v>
      </c>
      <c r="R241">
        <v>1.43803672373646</v>
      </c>
      <c r="S241">
        <v>1.42776440229209</v>
      </c>
      <c r="T241">
        <v>1.41713651212479</v>
      </c>
      <c r="U241">
        <v>1.40615897867666</v>
      </c>
      <c r="V241">
        <v>1.39483831744054</v>
      </c>
      <c r="W241">
        <v>1.383181656977</v>
      </c>
      <c r="X241">
        <v>1.37119675893931</v>
      </c>
      <c r="Y241">
        <v>1.35889203463295</v>
      </c>
      <c r="Z241">
        <v>1.34627655764172</v>
      </c>
      <c r="AA241">
        <v>1.33336007206855</v>
      </c>
      <c r="AB241">
        <v>1.3201529959654</v>
      </c>
      <c r="AC241">
        <v>1.30666641956431</v>
      </c>
      <c r="AD241">
        <v>1.292912097971</v>
      </c>
      <c r="AE241">
        <v>1.2789024380434</v>
      </c>
      <c r="AF241">
        <v>1.26465047924916</v>
      </c>
      <c r="AG241">
        <v>1.2501698683789</v>
      </c>
      <c r="AH241">
        <v>1.23547482808299</v>
      </c>
      <c r="AI241">
        <v>1.220580119298</v>
      </c>
      <c r="AJ241">
        <v>1.20550099773291</v>
      </c>
      <c r="AK241">
        <v>1.19025316469082</v>
      </c>
      <c r="AL241">
        <v>1.17485271260796</v>
      </c>
      <c r="AM241">
        <v>1.15931606579405</v>
      </c>
      <c r="AN241">
        <v>1.14365991695467</v>
      </c>
      <c r="AO241">
        <v>1.12790116016251</v>
      </c>
      <c r="AP241">
        <v>1.11205682101965</v>
      </c>
      <c r="AQ241" s="3"/>
    </row>
    <row r="242" spans="1:43">
      <c r="A242" s="1">
        <f t="shared" si="6"/>
        <v>129.5</v>
      </c>
      <c r="B242">
        <v>1.55111994772832</v>
      </c>
      <c r="C242">
        <v>1.546989333833</v>
      </c>
      <c r="D242">
        <v>1.54246626537614</v>
      </c>
      <c r="E242">
        <v>1.53755120742781</v>
      </c>
      <c r="F242">
        <v>1.5322447561346</v>
      </c>
      <c r="G242">
        <v>1.52654766102618</v>
      </c>
      <c r="H242">
        <v>1.52046084889437</v>
      </c>
      <c r="I242">
        <v>1.51398544915882</v>
      </c>
      <c r="J242">
        <v>1.50712282061327</v>
      </c>
      <c r="K242">
        <v>1.49987457942491</v>
      </c>
      <c r="L242">
        <v>1.49224262823498</v>
      </c>
      <c r="M242">
        <v>1.4842291861827</v>
      </c>
      <c r="N242">
        <v>1.47583681964609</v>
      </c>
      <c r="O242">
        <v>1.46706847346394</v>
      </c>
      <c r="P242">
        <v>1.45792750237198</v>
      </c>
      <c r="Q242">
        <v>1.44841770235509</v>
      </c>
      <c r="R242">
        <v>1.43854334158593</v>
      </c>
      <c r="S242">
        <v>1.42830919058993</v>
      </c>
      <c r="T242">
        <v>1.417720551248</v>
      </c>
      <c r="U242">
        <v>1.40678328422227</v>
      </c>
      <c r="V242">
        <v>1.39550383436838</v>
      </c>
      <c r="W242">
        <v>1.38388925368086</v>
      </c>
      <c r="X242">
        <v>1.37194722130728</v>
      </c>
      <c r="Y242">
        <v>1.35968606016399</v>
      </c>
      <c r="Z242">
        <v>1.3471147496912</v>
      </c>
      <c r="AA242">
        <v>1.33424293430032</v>
      </c>
      <c r="AB242">
        <v>1.32108092709162</v>
      </c>
      <c r="AC242">
        <v>1.30763970845694</v>
      </c>
      <c r="AD242">
        <v>1.29393091922956</v>
      </c>
      <c r="AE242">
        <v>1.27996684810291</v>
      </c>
      <c r="AF242">
        <v>1.26576041310975</v>
      </c>
      <c r="AG242">
        <v>1.25132513703376</v>
      </c>
      <c r="AH242">
        <v>1.23667511671492</v>
      </c>
      <c r="AI242">
        <v>1.2218249863064</v>
      </c>
      <c r="AJ242">
        <v>1.20678987464242</v>
      </c>
      <c r="AK242">
        <v>1.19158535698091</v>
      </c>
      <c r="AL242">
        <v>1.17622740148894</v>
      </c>
      <c r="AM242">
        <v>1.16073231094044</v>
      </c>
      <c r="AN242">
        <v>1.14511666019086</v>
      </c>
      <c r="AO242">
        <v>1.12939723008003</v>
      </c>
      <c r="AP242">
        <v>1.11359093848889</v>
      </c>
      <c r="AQ242" s="3"/>
    </row>
    <row r="243" spans="1:43">
      <c r="A243" s="1">
        <f t="shared" si="6"/>
        <v>130</v>
      </c>
      <c r="B243">
        <v>1.55119560669027</v>
      </c>
      <c r="C243">
        <v>1.54708086479585</v>
      </c>
      <c r="D243">
        <v>1.54257516919458</v>
      </c>
      <c r="E243">
        <v>1.53767897961982</v>
      </c>
      <c r="F243">
        <v>1.5323928853818</v>
      </c>
      <c r="G243">
        <v>1.52671762742196</v>
      </c>
      <c r="H243">
        <v>1.52065412192367</v>
      </c>
      <c r="I243">
        <v>1.51420348539502</v>
      </c>
      <c r="J243">
        <v>1.50736706111964</v>
      </c>
      <c r="K243">
        <v>1.50014644685055</v>
      </c>
      <c r="L243">
        <v>1.49254352359786</v>
      </c>
      <c r="M243">
        <v>1.48456048533572</v>
      </c>
      <c r="N243">
        <v>1.47619986942603</v>
      </c>
      <c r="O243">
        <v>1.46746458752725</v>
      </c>
      <c r="P243">
        <v>1.45835795672628</v>
      </c>
      <c r="Q243">
        <v>1.44888373060048</v>
      </c>
      <c r="R243">
        <v>1.43904612988597</v>
      </c>
      <c r="S243">
        <v>1.42884987239825</v>
      </c>
      <c r="T243">
        <v>1.41830020182312</v>
      </c>
      <c r="U243">
        <v>1.40740291496973</v>
      </c>
      <c r="V243">
        <v>1.39616438705633</v>
      </c>
      <c r="W243">
        <v>1.38459159458188</v>
      </c>
      <c r="X243">
        <v>1.37269213532598</v>
      </c>
      <c r="Y243">
        <v>1.36047424501596</v>
      </c>
      <c r="Z243">
        <v>1.34794681020476</v>
      </c>
      <c r="AA243">
        <v>1.33511937691703</v>
      </c>
      <c r="AB243">
        <v>1.32200215464552</v>
      </c>
      <c r="AC243">
        <v>1.3086060153148</v>
      </c>
      <c r="AD243">
        <v>1.29494248687564</v>
      </c>
      <c r="AE243">
        <v>1.28102374125089</v>
      </c>
      <c r="AF243">
        <v>1.26686257642222</v>
      </c>
      <c r="AG243">
        <v>1.25247239252533</v>
      </c>
      <c r="AH243">
        <v>1.23786716190861</v>
      </c>
      <c r="AI243">
        <v>1.22306139320488</v>
      </c>
      <c r="AJ243">
        <v>1.20807008956549</v>
      </c>
      <c r="AK243">
        <v>1.19290870130884</v>
      </c>
      <c r="AL243">
        <v>1.17759307333804</v>
      </c>
      <c r="AM243">
        <v>1.16213938778275</v>
      </c>
      <c r="AN243">
        <v>1.14656410241451</v>
      </c>
      <c r="AO243">
        <v>1.13088388547107</v>
      </c>
      <c r="AP243">
        <v>1.11511554759976</v>
      </c>
      <c r="AQ243" s="3"/>
    </row>
    <row r="244" spans="1:43">
      <c r="A244" s="1">
        <v>1000000</v>
      </c>
      <c r="B244">
        <v>1.57079377837492</v>
      </c>
      <c r="C244">
        <v>1.57079324320672</v>
      </c>
      <c r="D244">
        <v>1.57079265707013</v>
      </c>
      <c r="E244">
        <v>1.57079201996513</v>
      </c>
      <c r="F244">
        <v>1.57079133189174</v>
      </c>
      <c r="G244">
        <v>1.57079059284994</v>
      </c>
      <c r="H244">
        <v>1.57078980283975</v>
      </c>
      <c r="I244">
        <v>1.57078896186116</v>
      </c>
      <c r="J244">
        <v>1.57078806991416</v>
      </c>
      <c r="K244">
        <v>1.57078712699877</v>
      </c>
      <c r="L244">
        <v>1.57078613311498</v>
      </c>
      <c r="M244">
        <v>1.57078508826279</v>
      </c>
      <c r="N244">
        <v>1.5707839924422</v>
      </c>
      <c r="O244">
        <v>1.57078284565321</v>
      </c>
      <c r="P244">
        <v>1.57078164789582</v>
      </c>
      <c r="Q244">
        <v>1.57078039917003</v>
      </c>
      <c r="R244">
        <v>1.57077909947584</v>
      </c>
      <c r="S244">
        <v>1.57077774881325</v>
      </c>
      <c r="T244">
        <v>1.57077634718226</v>
      </c>
      <c r="U244">
        <v>1.57077489458287</v>
      </c>
      <c r="V244">
        <v>1.57077339101508</v>
      </c>
      <c r="W244">
        <v>1.5707718364789</v>
      </c>
      <c r="X244">
        <v>1.57077023097431</v>
      </c>
      <c r="Y244">
        <v>1.57076857450133</v>
      </c>
      <c r="Z244">
        <v>1.57076686705994</v>
      </c>
      <c r="AA244">
        <v>1.57076510865016</v>
      </c>
      <c r="AB244">
        <v>1.57076329927197</v>
      </c>
      <c r="AC244">
        <v>1.57076143892539</v>
      </c>
      <c r="AD244">
        <v>1.57075952761041</v>
      </c>
      <c r="AE244">
        <v>1.57075756532703</v>
      </c>
      <c r="AF244">
        <v>1.57075555207525</v>
      </c>
      <c r="AG244">
        <v>1.57075348785507</v>
      </c>
      <c r="AH244">
        <v>1.57075137266649</v>
      </c>
      <c r="AI244">
        <v>1.57074920650951</v>
      </c>
      <c r="AJ244">
        <v>1.57074698938413</v>
      </c>
      <c r="AK244">
        <v>1.57074472129036</v>
      </c>
      <c r="AL244">
        <v>1.57074240222818</v>
      </c>
      <c r="AM244">
        <v>1.57074003219761</v>
      </c>
      <c r="AN244">
        <v>1.57073761119863</v>
      </c>
      <c r="AO244">
        <v>1.57073513923126</v>
      </c>
      <c r="AP244">
        <v>1.57073261629549</v>
      </c>
      <c r="AQ244" s="3"/>
    </row>
    <row r="245" spans="2:2">
      <c r="B245">
        <f>DEGREES(B244)</f>
        <v>89.9998539862907</v>
      </c>
    </row>
  </sheetData>
  <pageMargins left="0.7" right="0.7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5362B13-F191-4238-98D5-0912006250A0}">
  <ds:schemaRefs/>
</ds:datastoreItem>
</file>

<file path=customXml/itemProps2.xml><?xml version="1.0" encoding="utf-8"?>
<ds:datastoreItem xmlns:ds="http://schemas.openxmlformats.org/officeDocument/2006/customXml" ds:itemID="{8344BDA5-D8AC-46EC-958C-37238A0AC328}">
  <ds:schemaRefs/>
</ds:datastoreItem>
</file>

<file path=customXml/itemProps3.xml><?xml version="1.0" encoding="utf-8"?>
<ds:datastoreItem xmlns:ds="http://schemas.openxmlformats.org/officeDocument/2006/customXml" ds:itemID="{9AA5A070-3F71-41D0-9100-9158A60CB2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Input_Output</vt:lpstr>
      <vt:lpstr>Output charts</vt:lpstr>
      <vt:lpstr>Calcs</vt:lpstr>
      <vt:lpstr>Track_geometry_lookup</vt:lpstr>
      <vt:lpstr>Lean_angle_lookup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Pitman</dc:creator>
  <cp:lastModifiedBy>Administrator</cp:lastModifiedBy>
  <dcterms:created xsi:type="dcterms:W3CDTF">2017-10-24T21:17:00Z</dcterms:created>
  <dcterms:modified xsi:type="dcterms:W3CDTF">2022-09-27T13:06:17Z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0x0101009C0EADE124985C40A5F49B68A8042623</vt:lpwstr>
  </property>
  <property fmtid="{D5CDD505-2E9C-101B-9397-08002B2CF9AE}" pid="3" name="ICV">
    <vt:lpwstr>7982EA66484340B2BACA9AB6F4C72441</vt:lpwstr>
  </property>
  <property fmtid="{D5CDD505-2E9C-101B-9397-08002B2CF9AE}" pid="4" name="KSOProductBuildVer">
    <vt:lpwstr>2052-11.1.0.12358</vt:lpwstr>
  </property>
</Properties>
</file>